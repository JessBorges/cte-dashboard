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FRESHMAN 26-27 CTE Comp" sheetId="1" r:id="rId5"/>
    <sheet state="visible" name="FRESHMAN 26-27 Career Institute" sheetId="2" r:id="rId6"/>
    <sheet state="visible" name="Sheet3" sheetId="3" r:id="rId7"/>
    <sheet state="visible" name="Original FRESHMAN 26-27 CTE Com" sheetId="4" r:id="rId8"/>
  </sheets>
  <definedNames/>
  <calcPr/>
</workbook>
</file>

<file path=xl/sharedStrings.xml><?xml version="1.0" encoding="utf-8"?>
<sst xmlns="http://schemas.openxmlformats.org/spreadsheetml/2006/main" count="378" uniqueCount="191">
  <si>
    <t>CAMPUS</t>
  </si>
  <si>
    <t>CTE Programming</t>
  </si>
  <si>
    <t>ORG</t>
  </si>
  <si>
    <t>9th Seats (10/7/25)</t>
  </si>
  <si>
    <t>P-TECH Seats</t>
  </si>
  <si>
    <t>IB Seats</t>
  </si>
  <si>
    <t>Avail. for CTE</t>
  </si>
  <si>
    <t>CI Seats (if 35%)</t>
  </si>
  <si>
    <t>Campus Seats</t>
  </si>
  <si>
    <t># CTE PoS</t>
  </si>
  <si>
    <t># FTE needed</t>
  </si>
  <si>
    <t># FTE hired 24-25</t>
  </si>
  <si>
    <t>TOTAL in PoS on Campus Lottery (red &lt; %)</t>
  </si>
  <si>
    <t>Diff in PoS and Student Avail</t>
  </si>
  <si>
    <t>Percentage</t>
  </si>
  <si>
    <t>Adamson</t>
  </si>
  <si>
    <t>Automotive Program of Study (2)</t>
  </si>
  <si>
    <t>Graphic Design and Interactive Media Program of Study (2)</t>
  </si>
  <si>
    <t>Bryan Adams</t>
  </si>
  <si>
    <t>Engineering Foundations 
Program of Study (2)</t>
  </si>
  <si>
    <t>Culinary Arts 
Program of Study (2)</t>
  </si>
  <si>
    <t>Marketing and Sales 
Program of Study (3)</t>
  </si>
  <si>
    <t>Biomedical Science 
Program of Study(2)</t>
  </si>
  <si>
    <t>Entrepreneurship 
Program of Study (2)</t>
  </si>
  <si>
    <t>Carter</t>
  </si>
  <si>
    <t>Accounting and Financial Services 
Program of Study (2)</t>
  </si>
  <si>
    <t>Business Management 
Program of Study (COMBINE TO ONE PATHWAY)</t>
  </si>
  <si>
    <t>Law Enforcement OR 
Legal Studies 
(sunsetting)</t>
  </si>
  <si>
    <t>Conrad</t>
  </si>
  <si>
    <t>Accounting and Financial Services 
Program of study (2)</t>
  </si>
  <si>
    <t>Hillcrest</t>
  </si>
  <si>
    <t>Business Management 
Program of Study (3)</t>
  </si>
  <si>
    <t>Engineering Foundations 
Program of Study 
(move to North - sunset students in program at home campus)</t>
  </si>
  <si>
    <t>Jefferson</t>
  </si>
  <si>
    <t>Culinary Arts Program of Study (2)</t>
  </si>
  <si>
    <t>Entrepreneurship Program of Study (2)</t>
  </si>
  <si>
    <t>Marketing and Sales 
Program of Study (sunsetting)</t>
  </si>
  <si>
    <t>Kimball</t>
  </si>
  <si>
    <t>Hospitality and Tourism 
Program of Study (COMBINE WITH CULINARY)</t>
  </si>
  <si>
    <t>Law Enforcement Service 
Program of Study (2)</t>
  </si>
  <si>
    <t>Lincoln</t>
  </si>
  <si>
    <t>Digital Communications 
Program of Study (2)</t>
  </si>
  <si>
    <t>Madison</t>
  </si>
  <si>
    <t>Business Management 
Program of Study (2)</t>
  </si>
  <si>
    <t>Molina</t>
  </si>
  <si>
    <t>Culinary Arts Program of Study (4)</t>
  </si>
  <si>
    <t>Law Enforcement Program of Study (2)</t>
  </si>
  <si>
    <t>Business Management Program of Study (2)</t>
  </si>
  <si>
    <t>North Dallas</t>
  </si>
  <si>
    <t>Graphics Design and Multimedia Arts 
Program of Study (2)</t>
  </si>
  <si>
    <t>L.G. Pinkston</t>
  </si>
  <si>
    <t>Web Development 
Program of Study (move to CI South)</t>
  </si>
  <si>
    <t>Roosevelt</t>
  </si>
  <si>
    <t>Fire Science 
Program of Study (2)</t>
  </si>
  <si>
    <t>Health Science: Diagnostic &amp; Therapeutic Services (Move to CI South)</t>
  </si>
  <si>
    <t>Samuell</t>
  </si>
  <si>
    <t>Graphics Design and Multimedia Arts Program of Study (3)</t>
  </si>
  <si>
    <t>Business Management Program of Study (3)</t>
  </si>
  <si>
    <t>Seagoville</t>
  </si>
  <si>
    <t>Animal Science 
Program of Study (3)</t>
  </si>
  <si>
    <t>Agricultural Technology and Mechanical Systems 
Program of Study (2)</t>
  </si>
  <si>
    <t>Entrepreneurship 
Program of Study (3)</t>
  </si>
  <si>
    <t>South Oak Cliff</t>
  </si>
  <si>
    <t>Marketing and Sales 
Program of Study (2)</t>
  </si>
  <si>
    <t>Spruce</t>
  </si>
  <si>
    <t>Automotive Collision Program of Study (2)</t>
  </si>
  <si>
    <t>Information Technology Support and Services Program of Study (2)</t>
  </si>
  <si>
    <t>Accounting and Financial Services Program of Study (3)</t>
  </si>
  <si>
    <t>Graphics Design and Multimedia Arts Program of Study (2)</t>
  </si>
  <si>
    <t>Sunset</t>
  </si>
  <si>
    <t>Biomedical Science 
Program of Study (2)</t>
  </si>
  <si>
    <t>Accounting and Financial Services 
Program of study (6)</t>
  </si>
  <si>
    <t>TOTALS</t>
  </si>
  <si>
    <t>White</t>
  </si>
  <si>
    <t>Engineering Foundations Program of Study (Move to CI North - sunset on home campus)</t>
  </si>
  <si>
    <t>Marketing and Sales Program of Study (2)</t>
  </si>
  <si>
    <t>Education and Training Program of Study (2)</t>
  </si>
  <si>
    <t>Wilmer-Hutchins</t>
  </si>
  <si>
    <t>IT Support &amp; Devices (Move to CI South)</t>
  </si>
  <si>
    <t>Wilson</t>
  </si>
  <si>
    <t>Skyline</t>
  </si>
  <si>
    <t>Health and Wellness Program of Study</t>
  </si>
  <si>
    <t>Business Management</t>
  </si>
  <si>
    <t>Software Development and Game Design Program of Study</t>
  </si>
  <si>
    <t>Plant Science Program of Study</t>
  </si>
  <si>
    <t>Biomedical Science Program of Study</t>
  </si>
  <si>
    <t>Law (Advanced Social Science) Program of Study</t>
  </si>
  <si>
    <t>Architecture Program of Study</t>
  </si>
  <si>
    <t>Aviation Maintance Program of Study</t>
  </si>
  <si>
    <t>HVAC (Heating, Venting, and Air Conditioning) Program of Study</t>
  </si>
  <si>
    <t>Fashion Design Program of Study</t>
  </si>
  <si>
    <t>Interior Design Program of Study</t>
  </si>
  <si>
    <t>Cosmetology and Personal Care Services Program of Study</t>
  </si>
  <si>
    <t>Culinary Arts Program of Study</t>
  </si>
  <si>
    <t>Graphics Design and Multimedia Arts Program of Study</t>
  </si>
  <si>
    <t>Barbery Program of Study (1)</t>
  </si>
  <si>
    <t>Automotive Collision Program of Study</t>
  </si>
  <si>
    <t>Automotive Technician Program of Study</t>
  </si>
  <si>
    <t>Digital Communications Program of Study</t>
  </si>
  <si>
    <t>Career Institute North (500)</t>
  </si>
  <si>
    <t>Comprehensive HS</t>
  </si>
  <si>
    <t>9th Grade Level - ENROLLMENT GOALS -- FRESHMAN ONLY</t>
  </si>
  <si>
    <t>Key</t>
  </si>
  <si>
    <t>DRAFT NUMBERS!</t>
  </si>
  <si>
    <t>9th Grade Total</t>
  </si>
  <si>
    <t>Percent of the Total</t>
  </si>
  <si>
    <t>Aviation (Pilots) Program of Study</t>
  </si>
  <si>
    <t>Construction/ Carpentry Program of Study</t>
  </si>
  <si>
    <t>HVAC (Heating, Ventilation, and Air Conditioning) Program of Study</t>
  </si>
  <si>
    <t>Electrical &amp; Solar Program of Study</t>
  </si>
  <si>
    <t>Plumbing and Pipefitting Program of Study</t>
  </si>
  <si>
    <t>Architectural Drafting and Design Program of Study</t>
  </si>
  <si>
    <t>Electronics Technology Program of Study</t>
  </si>
  <si>
    <t>Cybersecurity Program of Study</t>
  </si>
  <si>
    <t>Software Development &amp; Game Design Program of Study</t>
  </si>
  <si>
    <t xml:space="preserve">Diagnostic &amp; Therapeutic Services (Patient Care Technician) Program of Study </t>
  </si>
  <si>
    <t xml:space="preserve">Diagnostic &amp; Therapeutic Services (EKG/ Phelobotomy) Program of Study </t>
  </si>
  <si>
    <t xml:space="preserve">Dental Assistant Program of Study </t>
  </si>
  <si>
    <t xml:space="preserve">EMT (Emergency Medical Technician) Program of Study </t>
  </si>
  <si>
    <t>Automotive Program of Study</t>
  </si>
  <si>
    <t>Welding Program of Study</t>
  </si>
  <si>
    <t>ALL</t>
  </si>
  <si>
    <t>More than 90%</t>
  </si>
  <si>
    <t xml:space="preserve">Conrad </t>
  </si>
  <si>
    <t>Between 80% and 90%</t>
  </si>
  <si>
    <t xml:space="preserve">Hillcrest </t>
  </si>
  <si>
    <t xml:space="preserve">Jefferson </t>
  </si>
  <si>
    <t xml:space="preserve">North Dallas </t>
  </si>
  <si>
    <t xml:space="preserve">WT White </t>
  </si>
  <si>
    <t>TOTAL for Career Institute North</t>
  </si>
  <si>
    <t>TOTAL ALLOWED FOR COURSES</t>
  </si>
  <si>
    <t>Career Institute South (501)</t>
  </si>
  <si>
    <t>Pinkston</t>
  </si>
  <si>
    <t>W. Hutchins</t>
  </si>
  <si>
    <t>TOTAL for Price CI South</t>
  </si>
  <si>
    <t>Career Institute East (502)</t>
  </si>
  <si>
    <t>Grade Level - ENROLLMENT GOALS</t>
  </si>
  <si>
    <t>Woodrow Wilson</t>
  </si>
  <si>
    <t>TOTAL for Career Institute East</t>
  </si>
  <si>
    <t>AVAILABLE</t>
  </si>
  <si>
    <t>BUSINESS AND/OR ACCOUNTING</t>
  </si>
  <si>
    <t>ADDED IF MOVED</t>
  </si>
  <si>
    <t>Minus CTE Adds</t>
  </si>
  <si>
    <t>Attrition and total</t>
  </si>
  <si>
    <t xml:space="preserve">T. Jefferson </t>
  </si>
  <si>
    <t>ASK</t>
  </si>
  <si>
    <t>Y1</t>
  </si>
  <si>
    <t>Y2</t>
  </si>
  <si>
    <t>Y3</t>
  </si>
  <si>
    <t>Y4</t>
  </si>
  <si>
    <t>Total</t>
  </si>
  <si>
    <t>XX</t>
  </si>
  <si>
    <t>TOTAL</t>
  </si>
  <si>
    <t>Automotive Program of Study (3)</t>
  </si>
  <si>
    <t>Graphic Design and Interactive Media Program of Study (4)</t>
  </si>
  <si>
    <t>Engineering Foundations Program of Study (2)</t>
  </si>
  <si>
    <t>Marketing and Sales Program of Study (4)</t>
  </si>
  <si>
    <t>Biomedical Science Program of Study(2)</t>
  </si>
  <si>
    <t>Entrepreneurship Program of Study (6 - note some teachers over lap with Marketing)</t>
  </si>
  <si>
    <t>Accounting and Financial Services Program of Study (2)</t>
  </si>
  <si>
    <t>Business Management Program of Study (2 - overlap)</t>
  </si>
  <si>
    <t>Law Enforcement OR Legal Studies ?? (TBD)</t>
  </si>
  <si>
    <t>Culinary Arts Program of Study (3)</t>
  </si>
  <si>
    <t>Accounting and Financial Services Program of study (2)</t>
  </si>
  <si>
    <t>Business Management Program of Study (6)</t>
  </si>
  <si>
    <t>Jefferson
*has 9th grade EB program</t>
  </si>
  <si>
    <t>Entrepreneurship Program of Study (3)</t>
  </si>
  <si>
    <t>Marketing and Sales Program of Study (2 - overlap)</t>
  </si>
  <si>
    <t>*</t>
  </si>
  <si>
    <t>Hospitality and Tourism Program of Study (3)</t>
  </si>
  <si>
    <t>Law Enforcement Service Program of Study (2)</t>
  </si>
  <si>
    <t>Culinary Arts Program of Study (1)</t>
  </si>
  <si>
    <t>Web Development Program of Study (3)</t>
  </si>
  <si>
    <t>Digital Communications Program of Study (1)</t>
  </si>
  <si>
    <t>Entrepreneurship Program of Study (4)</t>
  </si>
  <si>
    <t>Business Management Program of Study (2-overlap)</t>
  </si>
  <si>
    <t>Entrepreneurship Program of Study (4-overlap)</t>
  </si>
  <si>
    <t>Fire Science Program of Study (2)</t>
  </si>
  <si>
    <t xml:space="preserve">Health Science: Diagnostic &amp; Therapeutic Services </t>
  </si>
  <si>
    <t>Animal Science Program of Study (3)</t>
  </si>
  <si>
    <t>Agricultural Technology and Mechanical Systems Program of Study (2)</t>
  </si>
  <si>
    <t>Business Management Program of Study (5)</t>
  </si>
  <si>
    <t>Marketing and Sales Program of Study (7-overlap)</t>
  </si>
  <si>
    <t>Entrepreneurship Program of Study (5-overlap)</t>
  </si>
  <si>
    <t>Information Technology Support and Services Program of Study (3)</t>
  </si>
  <si>
    <t>Graphics Design and Multimedia Arts Program of Study (1)</t>
  </si>
  <si>
    <t>Biomedical Science Program of Study (2)</t>
  </si>
  <si>
    <t>Accounting and Financial Services Program of study (6)</t>
  </si>
  <si>
    <t>Business Management Program of Study (4)</t>
  </si>
  <si>
    <t>Marketing and Sales Program of Study (4-overlap)</t>
  </si>
  <si>
    <t>Engineering Foundations Program of Study 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</si>
</sst>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0"/>
      <name val="Arial"/>
      <scheme val="minor"/>
    </font>
    <font>
      <b/>
      <sz val="10.0"/>
      <color rgb="FFFFFFFF"/>
      <name val="Arial"/>
    </font>
    <font/>
    <font>
      <b/>
      <color rgb="FF000000"/>
      <name val="Arial"/>
      <scheme val="minor"/>
    </font>
    <font>
      <b/>
      <color theme="1"/>
      <name val="Arial"/>
    </font>
    <font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8F0FE"/>
        <bgColor rgb="FFE8F0FE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4" fillId="0" fontId="2" numFmtId="1" xfId="0" applyAlignment="1" applyBorder="1" applyFont="1" applyNumberForma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shrinkToFit="0" vertical="bottom" wrapText="1"/>
    </xf>
    <xf borderId="10" fillId="0" fontId="3" numFmtId="0" xfId="0" applyAlignment="1" applyBorder="1" applyFont="1">
      <alignment horizontal="left" readingOrder="0" shrinkToFit="0" vertical="bottom" wrapText="1"/>
    </xf>
    <xf borderId="11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12" fillId="0" fontId="3" numFmtId="0" xfId="0" applyAlignment="1" applyBorder="1" applyFont="1">
      <alignment horizontal="center" readingOrder="0" shrinkToFit="0" vertical="bottom" wrapText="1"/>
    </xf>
    <xf borderId="9" fillId="0" fontId="3" numFmtId="1" xfId="0" applyAlignment="1" applyBorder="1" applyFont="1" applyNumberFormat="1">
      <alignment horizontal="center" shrinkToFit="0" vertical="bottom" wrapText="1"/>
    </xf>
    <xf borderId="13" fillId="0" fontId="3" numFmtId="0" xfId="0" applyAlignment="1" applyBorder="1" applyFont="1">
      <alignment horizontal="center" shrinkToFit="0" vertical="bottom" wrapText="1"/>
    </xf>
    <xf borderId="14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readingOrder="0" shrinkToFit="0" vertical="bottom" wrapText="1"/>
    </xf>
    <xf borderId="14" fillId="0" fontId="3" numFmtId="0" xfId="0" applyAlignment="1" applyBorder="1" applyFont="1">
      <alignment horizontal="center" readingOrder="0" shrinkToFit="0" vertical="bottom" wrapText="1"/>
    </xf>
    <xf borderId="14" fillId="0" fontId="3" numFmtId="10" xfId="0" applyAlignment="1" applyBorder="1" applyFont="1" applyNumberFormat="1">
      <alignment horizontal="center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9" fillId="0" fontId="3" numFmtId="0" xfId="0" applyAlignment="1" applyBorder="1" applyFont="1">
      <alignment horizontal="center" shrinkToFit="0" vertical="bottom" wrapText="1"/>
    </xf>
    <xf borderId="12" fillId="0" fontId="3" numFmtId="0" xfId="0" applyAlignment="1" applyBorder="1" applyFont="1">
      <alignment horizontal="center"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14" fillId="0" fontId="3" numFmtId="0" xfId="0" applyAlignment="1" applyBorder="1" applyFont="1">
      <alignment horizontal="center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14" fillId="0" fontId="3" numFmtId="164" xfId="0" applyAlignment="1" applyBorder="1" applyFont="1" applyNumberForma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9" fillId="0" fontId="3" numFmtId="1" xfId="0" applyAlignment="1" applyBorder="1" applyFont="1" applyNumberFormat="1">
      <alignment horizontal="center" readingOrder="0" shrinkToFit="0" vertical="bottom" wrapText="1"/>
    </xf>
    <xf borderId="12" fillId="0" fontId="3" numFmtId="1" xfId="0" applyAlignment="1" applyBorder="1" applyFont="1" applyNumberFormat="1">
      <alignment horizontal="center" shrinkToFit="0" vertical="bottom" wrapText="1"/>
    </xf>
    <xf borderId="14" fillId="0" fontId="3" numFmtId="1" xfId="0" applyAlignment="1" applyBorder="1" applyFont="1" applyNumberFormat="1">
      <alignment horizontal="center" readingOrder="0" shrinkToFit="0" vertical="bottom" wrapText="1"/>
    </xf>
    <xf borderId="10" fillId="0" fontId="3" numFmtId="0" xfId="0" applyAlignment="1" applyBorder="1" applyFont="1">
      <alignment horizontal="left" readingOrder="0" shrinkToFit="0" vertical="bottom" wrapText="1"/>
    </xf>
    <xf borderId="13" fillId="0" fontId="3" numFmtId="0" xfId="0" applyAlignment="1" applyBorder="1" applyFont="1">
      <alignment horizontal="center" readingOrder="0" shrinkToFit="0" vertical="bottom" wrapText="1"/>
    </xf>
    <xf borderId="10" fillId="0" fontId="3" numFmtId="0" xfId="0" applyAlignment="1" applyBorder="1" applyFont="1">
      <alignment horizontal="left" shrinkToFit="0" vertical="bottom" wrapText="1"/>
    </xf>
    <xf borderId="12" fillId="0" fontId="3" numFmtId="0" xfId="0" applyAlignment="1" applyBorder="1" applyFont="1">
      <alignment horizontal="center" readingOrder="0" shrinkToFit="0" vertical="bottom" wrapText="1"/>
    </xf>
    <xf borderId="1" fillId="0" fontId="1" numFmtId="0" xfId="0" applyBorder="1" applyFont="1"/>
    <xf borderId="10" fillId="0" fontId="3" numFmtId="0" xfId="0" applyAlignment="1" applyBorder="1" applyFont="1">
      <alignment horizontal="left" shrinkToFit="0" vertical="bottom" wrapText="1"/>
    </xf>
    <xf borderId="14" fillId="0" fontId="3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shrinkToFit="0" vertical="bottom" wrapText="1"/>
    </xf>
    <xf borderId="9" fillId="2" fontId="3" numFmtId="0" xfId="0" applyAlignment="1" applyBorder="1" applyFill="1" applyFont="1">
      <alignment horizontal="center" shrinkToFit="0" vertical="bottom" wrapText="1"/>
    </xf>
    <xf borderId="10" fillId="2" fontId="3" numFmtId="0" xfId="0" applyAlignment="1" applyBorder="1" applyFont="1">
      <alignment horizontal="left" readingOrder="0" shrinkToFit="0" vertical="bottom" wrapText="1"/>
    </xf>
    <xf borderId="11" fillId="2" fontId="3" numFmtId="0" xfId="0" applyAlignment="1" applyBorder="1" applyFont="1">
      <alignment horizontal="center" readingOrder="0" shrinkToFit="0" vertical="bottom" wrapText="1"/>
    </xf>
    <xf borderId="9" fillId="2" fontId="3" numFmtId="0" xfId="0" applyAlignment="1" applyBorder="1" applyFont="1">
      <alignment horizontal="center" readingOrder="0" shrinkToFit="0" vertical="bottom" wrapText="1"/>
    </xf>
    <xf borderId="12" fillId="2" fontId="3" numFmtId="0" xfId="0" applyAlignment="1" applyBorder="1" applyFont="1">
      <alignment horizontal="center" readingOrder="0" shrinkToFit="0" vertical="bottom" wrapText="1"/>
    </xf>
    <xf borderId="9" fillId="2" fontId="3" numFmtId="1" xfId="0" applyAlignment="1" applyBorder="1" applyFont="1" applyNumberFormat="1">
      <alignment horizontal="center" readingOrder="0" shrinkToFit="0" vertical="bottom" wrapText="1"/>
    </xf>
    <xf borderId="13" fillId="2" fontId="3" numFmtId="0" xfId="0" applyAlignment="1" applyBorder="1" applyFont="1">
      <alignment horizontal="center" readingOrder="0" shrinkToFit="0" vertical="bottom" wrapText="1"/>
    </xf>
    <xf borderId="14" fillId="2" fontId="3" numFmtId="0" xfId="0" applyAlignment="1" applyBorder="1" applyFont="1">
      <alignment horizontal="center" readingOrder="0" shrinkToFit="0" vertical="bottom" wrapText="1"/>
    </xf>
    <xf borderId="15" fillId="2" fontId="3" numFmtId="0" xfId="0" applyAlignment="1" applyBorder="1" applyFont="1">
      <alignment horizontal="center" readingOrder="0" shrinkToFit="0" vertical="bottom" wrapText="1"/>
    </xf>
    <xf borderId="14" fillId="2" fontId="3" numFmtId="10" xfId="0" applyAlignment="1" applyBorder="1" applyFont="1" applyNumberFormat="1">
      <alignment horizontal="center" shrinkToFit="0" vertical="bottom" wrapText="1"/>
    </xf>
    <xf borderId="1" fillId="2" fontId="3" numFmtId="0" xfId="0" applyAlignment="1" applyBorder="1" applyFont="1">
      <alignment readingOrder="0" shrinkToFit="0" vertical="bottom" wrapText="1"/>
    </xf>
    <xf borderId="1" fillId="2" fontId="3" numFmtId="0" xfId="0" applyAlignment="1" applyBorder="1" applyFont="1">
      <alignment shrinkToFit="0" vertical="bottom" wrapText="1"/>
    </xf>
    <xf borderId="12" fillId="2" fontId="3" numFmtId="0" xfId="0" applyAlignment="1" applyBorder="1" applyFont="1">
      <alignment horizontal="center" shrinkToFit="0" vertical="bottom" wrapText="1"/>
    </xf>
    <xf borderId="14" fillId="2" fontId="3" numFmtId="10" xfId="0" applyAlignment="1" applyBorder="1" applyFont="1" applyNumberFormat="1">
      <alignment horizontal="center" readingOrder="0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9" fillId="3" fontId="3" numFmtId="0" xfId="0" applyAlignment="1" applyBorder="1" applyFill="1" applyFont="1">
      <alignment vertical="bottom"/>
    </xf>
    <xf borderId="10" fillId="3" fontId="3" numFmtId="0" xfId="0" applyAlignment="1" applyBorder="1" applyFont="1">
      <alignment vertical="bottom"/>
    </xf>
    <xf borderId="11" fillId="3" fontId="3" numFmtId="0" xfId="0" applyAlignment="1" applyBorder="1" applyFont="1">
      <alignment vertical="bottom"/>
    </xf>
    <xf borderId="9" fillId="3" fontId="3" numFmtId="0" xfId="0" applyAlignment="1" applyBorder="1" applyFont="1">
      <alignment vertical="bottom"/>
    </xf>
    <xf borderId="12" fillId="3" fontId="3" numFmtId="0" xfId="0" applyAlignment="1" applyBorder="1" applyFont="1">
      <alignment vertical="bottom"/>
    </xf>
    <xf borderId="9" fillId="3" fontId="3" numFmtId="1" xfId="0" applyAlignment="1" applyBorder="1" applyFont="1" applyNumberFormat="1">
      <alignment vertical="bottom"/>
    </xf>
    <xf borderId="12" fillId="3" fontId="3" numFmtId="0" xfId="0" applyAlignment="1" applyBorder="1" applyFont="1">
      <alignment vertical="bottom"/>
    </xf>
    <xf borderId="13" fillId="3" fontId="3" numFmtId="0" xfId="0" applyAlignment="1" applyBorder="1" applyFont="1">
      <alignment vertical="bottom"/>
    </xf>
    <xf borderId="14" fillId="3" fontId="3" numFmtId="0" xfId="0" applyAlignment="1" applyBorder="1" applyFont="1">
      <alignment vertical="bottom"/>
    </xf>
    <xf borderId="15" fillId="3" fontId="3" numFmtId="0" xfId="0" applyAlignment="1" applyBorder="1" applyFont="1">
      <alignment vertical="bottom"/>
    </xf>
    <xf borderId="14" fillId="3" fontId="3" numFmtId="0" xfId="0" applyAlignment="1" applyBorder="1" applyFont="1">
      <alignment vertical="bottom"/>
    </xf>
    <xf borderId="14" fillId="3" fontId="3" numFmtId="10" xfId="0" applyAlignment="1" applyBorder="1" applyFont="1" applyNumberFormat="1">
      <alignment vertical="bottom"/>
    </xf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vertical="bottom"/>
    </xf>
    <xf borderId="9" fillId="4" fontId="3" numFmtId="0" xfId="0" applyAlignment="1" applyBorder="1" applyFill="1" applyFont="1">
      <alignment horizontal="center" shrinkToFit="0" vertical="bottom" wrapText="1"/>
    </xf>
    <xf borderId="10" fillId="4" fontId="3" numFmtId="0" xfId="0" applyAlignment="1" applyBorder="1" applyFont="1">
      <alignment horizontal="left" readingOrder="0" shrinkToFit="0" vertical="bottom" wrapText="1"/>
    </xf>
    <xf borderId="11" fillId="4" fontId="3" numFmtId="0" xfId="0" applyAlignment="1" applyBorder="1" applyFont="1">
      <alignment horizontal="center" readingOrder="0" shrinkToFit="0" vertical="bottom" wrapText="1"/>
    </xf>
    <xf borderId="12" fillId="4" fontId="3" numFmtId="0" xfId="0" applyAlignment="1" applyBorder="1" applyFont="1">
      <alignment horizontal="center" shrinkToFit="0" vertical="bottom" wrapText="1"/>
    </xf>
    <xf borderId="11" fillId="4" fontId="3" numFmtId="0" xfId="0" applyAlignment="1" applyBorder="1" applyFont="1">
      <alignment horizontal="center" shrinkToFit="0" vertical="bottom" wrapText="1"/>
    </xf>
    <xf borderId="9" fillId="4" fontId="3" numFmtId="1" xfId="0" applyAlignment="1" applyBorder="1" applyFont="1" applyNumberFormat="1">
      <alignment horizontal="center" shrinkToFit="0" vertical="bottom" wrapText="1"/>
    </xf>
    <xf borderId="13" fillId="4" fontId="3" numFmtId="0" xfId="0" applyAlignment="1" applyBorder="1" applyFont="1">
      <alignment horizontal="center" shrinkToFit="0" vertical="bottom" wrapText="1"/>
    </xf>
    <xf borderId="14" fillId="4" fontId="3" numFmtId="0" xfId="0" applyAlignment="1" applyBorder="1" applyFont="1">
      <alignment horizontal="center" shrinkToFit="0" vertical="bottom" wrapText="1"/>
    </xf>
    <xf borderId="15" fillId="4" fontId="3" numFmtId="0" xfId="0" applyAlignment="1" applyBorder="1" applyFont="1">
      <alignment horizontal="center" shrinkToFit="0" vertical="bottom" wrapText="1"/>
    </xf>
    <xf borderId="1" fillId="4" fontId="3" numFmtId="0" xfId="0" applyAlignment="1" applyBorder="1" applyFont="1">
      <alignment readingOrder="0" shrinkToFit="0" vertical="bottom" wrapText="1"/>
    </xf>
    <xf borderId="1" fillId="4" fontId="1" numFmtId="0" xfId="0" applyBorder="1" applyFont="1"/>
    <xf borderId="1" fillId="4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6" fillId="0" fontId="3" numFmtId="0" xfId="0" applyAlignment="1" applyBorder="1" applyFont="1">
      <alignment horizontal="center" readingOrder="0" shrinkToFit="0" vertical="bottom" wrapText="1"/>
    </xf>
    <xf borderId="17" fillId="0" fontId="3" numFmtId="0" xfId="0" applyAlignment="1" applyBorder="1" applyFont="1">
      <alignment horizontal="center" shrinkToFit="0" vertical="bottom" wrapText="1"/>
    </xf>
    <xf borderId="18" fillId="0" fontId="3" numFmtId="0" xfId="0" applyAlignment="1" applyBorder="1" applyFont="1">
      <alignment horizontal="center" shrinkToFit="0" vertical="bottom" wrapText="1"/>
    </xf>
    <xf borderId="16" fillId="0" fontId="3" numFmtId="0" xfId="0" applyAlignment="1" applyBorder="1" applyFont="1">
      <alignment horizontal="center" shrinkToFit="0" vertical="bottom" wrapText="1"/>
    </xf>
    <xf borderId="17" fillId="0" fontId="3" numFmtId="1" xfId="0" applyAlignment="1" applyBorder="1" applyFont="1" applyNumberFormat="1">
      <alignment horizontal="center" shrinkToFit="0" vertical="bottom" wrapText="1"/>
    </xf>
    <xf borderId="19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left" readingOrder="0" shrinkToFit="0" vertical="bottom" wrapText="1"/>
    </xf>
    <xf borderId="20" fillId="0" fontId="3" numFmtId="0" xfId="0" applyAlignment="1" applyBorder="1" applyFont="1">
      <alignment horizontal="center" readingOrder="0" shrinkToFit="0" vertical="bottom" wrapText="1"/>
    </xf>
    <xf borderId="21" fillId="0" fontId="3" numFmtId="0" xfId="0" applyAlignment="1" applyBorder="1" applyFont="1">
      <alignment horizontal="center" readingOrder="0" shrinkToFit="0" vertical="bottom" wrapText="1"/>
    </xf>
    <xf borderId="22" fillId="0" fontId="3" numFmtId="0" xfId="0" applyAlignment="1" applyBorder="1" applyFont="1">
      <alignment horizontal="center" readingOrder="0" shrinkToFit="0" vertical="bottom" wrapText="1"/>
    </xf>
    <xf borderId="21" fillId="0" fontId="3" numFmtId="1" xfId="0" applyAlignment="1" applyBorder="1" applyFont="1" applyNumberFormat="1">
      <alignment horizontal="center" shrinkToFit="0" vertical="bottom" wrapText="1"/>
    </xf>
    <xf borderId="22" fillId="0" fontId="3" numFmtId="0" xfId="0" applyAlignment="1" applyBorder="1" applyFont="1">
      <alignment horizontal="center" shrinkToFit="0" vertical="bottom" wrapText="1"/>
    </xf>
    <xf borderId="23" fillId="0" fontId="3" numFmtId="0" xfId="0" applyAlignment="1" applyBorder="1" applyFont="1">
      <alignment horizontal="center" shrinkToFit="0" vertical="bottom" wrapText="1"/>
    </xf>
    <xf borderId="24" fillId="0" fontId="3" numFmtId="0" xfId="0" applyAlignment="1" applyBorder="1" applyFont="1">
      <alignment horizontal="center" shrinkToFit="0" vertical="bottom" wrapText="1"/>
    </xf>
    <xf borderId="25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0" fillId="5" fontId="2" numFmtId="0" xfId="0" applyAlignment="1" applyFill="1" applyFont="1">
      <alignment readingOrder="0" shrinkToFit="0" wrapText="1"/>
    </xf>
    <xf borderId="0" fillId="5" fontId="1" numFmtId="0" xfId="0" applyAlignment="1" applyFont="1">
      <alignment shrinkToFit="0" vertical="top" wrapText="1"/>
    </xf>
    <xf borderId="0" fillId="5" fontId="1" numFmtId="0" xfId="0" applyAlignment="1" applyFont="1">
      <alignment horizontal="center" shrinkToFit="0" vertical="top" wrapText="1"/>
    </xf>
    <xf borderId="0" fillId="5" fontId="4" numFmtId="0" xfId="0" applyFont="1"/>
    <xf borderId="0" fillId="5" fontId="1" numFmtId="0" xfId="0" applyFont="1"/>
    <xf borderId="0" fillId="6" fontId="2" numFmtId="0" xfId="0" applyAlignment="1" applyFill="1" applyFont="1">
      <alignment horizontal="center" readingOrder="0" shrinkToFit="0" vertical="center" wrapText="1"/>
    </xf>
    <xf borderId="2" fillId="7" fontId="5" numFmtId="0" xfId="0" applyAlignment="1" applyBorder="1" applyFill="1" applyFont="1">
      <alignment horizontal="center" readingOrder="0" shrinkToFit="0" vertical="center" wrapText="1"/>
    </xf>
    <xf borderId="2" fillId="7" fontId="6" numFmtId="0" xfId="0" applyAlignment="1" applyBorder="1" applyFont="1">
      <alignment horizontal="center" readingOrder="0" shrinkToFit="0" vertical="center" wrapText="1"/>
    </xf>
    <xf borderId="14" fillId="0" fontId="7" numFmtId="0" xfId="0" applyBorder="1" applyFont="1"/>
    <xf borderId="8" fillId="0" fontId="7" numFmtId="0" xfId="0" applyBorder="1" applyFont="1"/>
    <xf borderId="26" fillId="5" fontId="8" numFmtId="0" xfId="0" applyAlignment="1" applyBorder="1" applyFont="1">
      <alignment horizontal="center" readingOrder="0"/>
    </xf>
    <xf borderId="27" fillId="8" fontId="9" numFmtId="0" xfId="0" applyAlignment="1" applyBorder="1" applyFill="1" applyFont="1">
      <alignment horizontal="center" vertical="bottom"/>
    </xf>
    <xf borderId="28" fillId="8" fontId="2" numFmtId="0" xfId="0" applyAlignment="1" applyBorder="1" applyFont="1">
      <alignment horizontal="center" readingOrder="0"/>
    </xf>
    <xf borderId="29" fillId="9" fontId="2" numFmtId="0" xfId="0" applyAlignment="1" applyBorder="1" applyFill="1" applyFont="1">
      <alignment horizontal="center" readingOrder="0" shrinkToFit="0" vertical="center" wrapText="1"/>
    </xf>
    <xf borderId="29" fillId="9" fontId="9" numFmtId="0" xfId="0" applyAlignment="1" applyBorder="1" applyFont="1">
      <alignment horizontal="center" readingOrder="0" shrinkToFit="0" vertical="center" wrapText="1"/>
    </xf>
    <xf borderId="1" fillId="9" fontId="9" numFmtId="0" xfId="0" applyAlignment="1" applyBorder="1" applyFont="1">
      <alignment horizontal="center" readingOrder="0" shrinkToFit="0" vertical="center" wrapText="1"/>
    </xf>
    <xf borderId="1" fillId="9" fontId="9" numFmtId="0" xfId="0" applyAlignment="1" applyBorder="1" applyFont="1">
      <alignment horizontal="center" shrinkToFit="0" vertical="center" wrapText="1"/>
    </xf>
    <xf borderId="30" fillId="5" fontId="4" numFmtId="0" xfId="0" applyAlignment="1" applyBorder="1" applyFont="1">
      <alignment horizontal="center" readingOrder="0"/>
    </xf>
    <xf borderId="1" fillId="10" fontId="3" numFmtId="0" xfId="0" applyAlignment="1" applyBorder="1" applyFill="1" applyFont="1">
      <alignment horizontal="center" vertical="bottom"/>
    </xf>
    <xf borderId="28" fillId="10" fontId="1" numFmtId="0" xfId="0" applyAlignment="1" applyBorder="1" applyFont="1">
      <alignment horizontal="center" readingOrder="0"/>
    </xf>
    <xf borderId="1" fillId="11" fontId="9" numFmtId="0" xfId="0" applyAlignment="1" applyBorder="1" applyFill="1" applyFont="1">
      <alignment horizontal="center" readingOrder="0" shrinkToFit="0" vertical="center" wrapText="1"/>
    </xf>
    <xf borderId="31" fillId="8" fontId="3" numFmtId="0" xfId="0" applyAlignment="1" applyBorder="1" applyFont="1">
      <alignment horizontal="center" readingOrder="0" vertical="bottom"/>
    </xf>
    <xf borderId="1" fillId="8" fontId="1" numFmtId="10" xfId="0" applyAlignment="1" applyBorder="1" applyFont="1" applyNumberFormat="1">
      <alignment horizontal="center" readingOrder="0" vertical="center"/>
    </xf>
    <xf borderId="31" fillId="8" fontId="9" numFmtId="1" xfId="0" applyAlignment="1" applyBorder="1" applyFont="1" applyNumberFormat="1">
      <alignment horizontal="center" readingOrder="0" vertical="bottom"/>
    </xf>
    <xf borderId="1" fillId="8" fontId="10" numFmtId="1" xfId="0" applyAlignment="1" applyBorder="1" applyFont="1" applyNumberFormat="1">
      <alignment horizontal="center" readingOrder="0"/>
    </xf>
    <xf borderId="26" fillId="5" fontId="4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vertical="bottom"/>
    </xf>
    <xf borderId="28" fillId="2" fontId="1" numFmtId="0" xfId="0" applyAlignment="1" applyBorder="1" applyFont="1">
      <alignment horizontal="center" readingOrder="0"/>
    </xf>
    <xf borderId="0" fillId="12" fontId="4" numFmtId="0" xfId="0" applyFill="1" applyFont="1"/>
    <xf borderId="1" fillId="11" fontId="9" numFmtId="0" xfId="0" applyAlignment="1" applyBorder="1" applyFont="1">
      <alignment horizontal="center" shrinkToFit="0" vertical="center" wrapText="1"/>
    </xf>
    <xf borderId="1" fillId="10" fontId="2" numFmtId="0" xfId="0" applyAlignment="1" applyBorder="1" applyFont="1">
      <alignment horizontal="center" readingOrder="0" vertical="center"/>
    </xf>
    <xf borderId="1" fillId="10" fontId="2" numFmtId="10" xfId="0" applyAlignment="1" applyBorder="1" applyFont="1" applyNumberFormat="1">
      <alignment horizontal="center" readingOrder="0" vertical="center"/>
    </xf>
    <xf borderId="1" fillId="10" fontId="2" numFmtId="1" xfId="0" applyAlignment="1" applyBorder="1" applyFont="1" applyNumberFormat="1">
      <alignment horizontal="center" readingOrder="0" vertical="center"/>
    </xf>
    <xf borderId="0" fillId="5" fontId="2" numFmtId="0" xfId="0" applyAlignment="1" applyFont="1">
      <alignment shrinkToFit="0" wrapText="1"/>
    </xf>
    <xf borderId="1" fillId="5" fontId="1" numFmtId="0" xfId="0" applyAlignment="1" applyBorder="1" applyFont="1">
      <alignment shrinkToFit="0" vertical="top" wrapText="1"/>
    </xf>
    <xf borderId="1" fillId="7" fontId="5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9" fillId="8" fontId="3" numFmtId="0" xfId="0" applyAlignment="1" applyBorder="1" applyFont="1">
      <alignment horizontal="center" readingOrder="0"/>
    </xf>
    <xf borderId="9" fillId="8" fontId="3" numFmtId="10" xfId="0" applyAlignment="1" applyBorder="1" applyFont="1" applyNumberFormat="1">
      <alignment horizontal="center" readingOrder="0" vertical="bottom"/>
    </xf>
    <xf borderId="1" fillId="8" fontId="9" numFmtId="0" xfId="0" applyAlignment="1" applyBorder="1" applyFont="1">
      <alignment horizontal="center" vertical="bottom"/>
    </xf>
    <xf borderId="1" fillId="8" fontId="9" numFmtId="0" xfId="0" applyAlignment="1" applyBorder="1" applyFont="1">
      <alignment horizontal="center" readingOrder="0" vertical="bottom"/>
    </xf>
    <xf borderId="9" fillId="8" fontId="9" numFmtId="0" xfId="0" applyAlignment="1" applyBorder="1" applyFont="1">
      <alignment horizontal="center" vertical="bottom"/>
    </xf>
    <xf borderId="9" fillId="8" fontId="9" numFmtId="0" xfId="0" applyAlignment="1" applyBorder="1" applyFont="1">
      <alignment horizontal="center" readingOrder="0" vertical="bottom"/>
    </xf>
    <xf borderId="9" fillId="10" fontId="9" numFmtId="0" xfId="0" applyAlignment="1" applyBorder="1" applyFont="1">
      <alignment horizontal="center" readingOrder="0"/>
    </xf>
    <xf borderId="9" fillId="10" fontId="9" numFmtId="10" xfId="0" applyAlignment="1" applyBorder="1" applyFont="1" applyNumberFormat="1">
      <alignment horizontal="center" readingOrder="0" vertical="bottom"/>
    </xf>
    <xf borderId="9" fillId="10" fontId="9" numFmtId="0" xfId="0" applyAlignment="1" applyBorder="1" applyFont="1">
      <alignment horizontal="center"/>
    </xf>
    <xf borderId="1" fillId="10" fontId="9" numFmtId="0" xfId="0" applyAlignment="1" applyBorder="1" applyFont="1">
      <alignment horizontal="center"/>
    </xf>
    <xf borderId="1" fillId="13" fontId="9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readingOrder="0" vertical="center"/>
    </xf>
    <xf borderId="9" fillId="8" fontId="3" numFmtId="10" xfId="0" applyAlignment="1" applyBorder="1" applyFont="1" applyNumberFormat="1">
      <alignment horizontal="center" readingOrder="0"/>
    </xf>
    <xf borderId="1" fillId="13" fontId="9" numFmtId="0" xfId="0" applyAlignment="1" applyBorder="1" applyFont="1">
      <alignment horizontal="center" readingOrder="0" vertical="bottom"/>
    </xf>
    <xf borderId="8" fillId="8" fontId="9" numFmtId="0" xfId="0" applyAlignment="1" applyBorder="1" applyFont="1">
      <alignment horizontal="center" readingOrder="0" vertical="bottom"/>
    </xf>
    <xf borderId="8" fillId="13" fontId="9" numFmtId="0" xfId="0" applyAlignment="1" applyBorder="1" applyFont="1">
      <alignment horizontal="center" readingOrder="0" vertical="bottom"/>
    </xf>
    <xf borderId="9" fillId="13" fontId="9" numFmtId="0" xfId="0" applyAlignment="1" applyBorder="1" applyFont="1">
      <alignment horizontal="center" readingOrder="0" vertical="bottom"/>
    </xf>
    <xf borderId="31" fillId="8" fontId="9" numFmtId="0" xfId="0" applyAlignment="1" applyBorder="1" applyFont="1">
      <alignment horizontal="center" readingOrder="0" vertical="bottom"/>
    </xf>
    <xf borderId="31" fillId="13" fontId="9" numFmtId="0" xfId="0" applyAlignment="1" applyBorder="1" applyFont="1">
      <alignment horizontal="center" readingOrder="0" vertical="bottom"/>
    </xf>
    <xf borderId="1" fillId="10" fontId="9" numFmtId="10" xfId="0" applyAlignment="1" applyBorder="1" applyFont="1" applyNumberFormat="1">
      <alignment horizontal="center" readingOrder="0"/>
    </xf>
    <xf borderId="0" fillId="11" fontId="9" numFmtId="0" xfId="0" applyAlignment="1" applyFont="1">
      <alignment horizontal="center" readingOrder="0" shrinkToFit="0" vertical="center" wrapText="1"/>
    </xf>
    <xf borderId="0" fillId="10" fontId="2" numFmtId="0" xfId="0" applyAlignment="1" applyFont="1">
      <alignment horizontal="center" readingOrder="0" vertical="center"/>
    </xf>
    <xf borderId="9" fillId="13" fontId="9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1" fillId="11" fontId="1" numFmtId="0" xfId="0" applyAlignment="1" applyBorder="1" applyFont="1">
      <alignment horizontal="center" readingOrder="0"/>
    </xf>
    <xf borderId="1" fillId="11" fontId="1" numFmtId="0" xfId="0" applyAlignment="1" applyBorder="1" applyFont="1">
      <alignment horizontal="center"/>
    </xf>
    <xf borderId="1" fillId="14" fontId="9" numFmtId="0" xfId="0" applyAlignment="1" applyBorder="1" applyFill="1" applyFont="1">
      <alignment horizontal="center" readingOrder="0" shrinkToFit="0" vertical="center" wrapText="1"/>
    </xf>
    <xf borderId="1" fillId="14" fontId="2" numFmtId="0" xfId="0" applyAlignment="1" applyBorder="1" applyFont="1">
      <alignment horizontal="center"/>
    </xf>
    <xf borderId="1" fillId="14" fontId="2" numFmtId="0" xfId="0" applyAlignment="1" applyBorder="1" applyFont="1">
      <alignment horizontal="center" readingOrder="0"/>
    </xf>
    <xf borderId="1" fillId="8" fontId="9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/>
    </xf>
    <xf borderId="1" fillId="15" fontId="9" numFmtId="0" xfId="0" applyAlignment="1" applyBorder="1" applyFill="1" applyFont="1">
      <alignment horizontal="center" shrinkToFit="0" vertical="center" wrapText="1"/>
    </xf>
    <xf borderId="1" fillId="15" fontId="1" numFmtId="0" xfId="0" applyAlignment="1" applyBorder="1" applyFont="1">
      <alignment horizontal="center" readingOrder="0"/>
    </xf>
    <xf borderId="1" fillId="15" fontId="1" numFmtId="0" xfId="0" applyAlignment="1" applyBorder="1" applyFont="1">
      <alignment horizontal="center"/>
    </xf>
    <xf borderId="1" fillId="15" fontId="9" numFmtId="0" xfId="0" applyAlignment="1" applyBorder="1" applyFont="1">
      <alignment horizontal="center" readingOrder="0" shrinkToFit="0" vertical="center" wrapText="1"/>
    </xf>
    <xf borderId="1" fillId="16" fontId="9" numFmtId="0" xfId="0" applyAlignment="1" applyBorder="1" applyFill="1" applyFont="1">
      <alignment horizontal="center" shrinkToFit="0" vertical="center" wrapText="1"/>
    </xf>
    <xf borderId="1" fillId="16" fontId="1" numFmtId="0" xfId="0" applyAlignment="1" applyBorder="1" applyFont="1">
      <alignment horizontal="center" readingOrder="0"/>
    </xf>
    <xf borderId="1" fillId="16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10" fillId="17" fontId="3" numFmtId="0" xfId="0" applyAlignment="1" applyBorder="1" applyFill="1" applyFont="1">
      <alignment horizontal="left" readingOrder="0" shrinkToFit="0" vertical="bottom" wrapText="1"/>
    </xf>
    <xf borderId="12" fillId="18" fontId="3" numFmtId="0" xfId="0" applyAlignment="1" applyBorder="1" applyFill="1" applyFont="1">
      <alignment horizontal="center" readingOrder="0" shrinkToFit="0" vertical="bottom" wrapText="1"/>
    </xf>
    <xf borderId="14" fillId="17" fontId="3" numFmtId="0" xfId="0" applyAlignment="1" applyBorder="1" applyFont="1">
      <alignment horizontal="center" readingOrder="0" shrinkToFit="0" vertical="bottom" wrapText="1"/>
    </xf>
    <xf borderId="10" fillId="17" fontId="3" numFmtId="0" xfId="0" applyAlignment="1" applyBorder="1" applyFont="1">
      <alignment horizontal="left" shrinkToFit="0" vertical="bottom" wrapText="1"/>
    </xf>
    <xf borderId="14" fillId="17" fontId="3" numFmtId="0" xfId="0" applyAlignment="1" applyBorder="1" applyFont="1">
      <alignment horizontal="center" shrinkToFit="0" vertical="bottom" wrapText="1"/>
    </xf>
    <xf borderId="10" fillId="19" fontId="3" numFmtId="0" xfId="0" applyAlignment="1" applyBorder="1" applyFill="1" applyFont="1">
      <alignment horizontal="left" readingOrder="0" shrinkToFit="0" vertical="bottom" wrapText="1"/>
    </xf>
    <xf borderId="11" fillId="19" fontId="3" numFmtId="0" xfId="0" applyAlignment="1" applyBorder="1" applyFont="1">
      <alignment horizontal="center" readingOrder="0" shrinkToFit="0" vertical="bottom" wrapText="1"/>
    </xf>
    <xf borderId="17" fillId="0" fontId="3" numFmtId="0" xfId="0" applyAlignment="1" applyBorder="1" applyFont="1">
      <alignment horizontal="center" readingOrder="0" shrinkToFit="0" vertical="bottom" wrapText="1"/>
    </xf>
    <xf borderId="18" fillId="0" fontId="3" numFmtId="0" xfId="0" applyAlignment="1" applyBorder="1" applyFont="1">
      <alignment horizontal="center" readingOrder="0" shrinkToFit="0" vertical="bottom" wrapText="1"/>
    </xf>
    <xf borderId="1" fillId="4" fontId="3" numFmtId="0" xfId="0" applyAlignment="1" applyBorder="1" applyFont="1">
      <alignment horizontal="center" shrinkToFit="0" vertical="bottom" wrapText="1"/>
    </xf>
    <xf borderId="2" fillId="4" fontId="3" numFmtId="0" xfId="0" applyAlignment="1" applyBorder="1" applyFont="1">
      <alignment horizontal="left" readingOrder="0" shrinkToFit="0" vertical="bottom" wrapText="1"/>
    </xf>
    <xf borderId="20" fillId="4" fontId="3" numFmtId="0" xfId="0" applyAlignment="1" applyBorder="1" applyFont="1">
      <alignment horizontal="center" readingOrder="0" shrinkToFit="0" vertical="bottom" wrapText="1"/>
    </xf>
    <xf borderId="21" fillId="4" fontId="3" numFmtId="0" xfId="0" applyAlignment="1" applyBorder="1" applyFont="1">
      <alignment horizontal="center" shrinkToFit="0" vertical="bottom" wrapText="1"/>
    </xf>
    <xf borderId="22" fillId="4" fontId="3" numFmtId="0" xfId="0" applyAlignment="1" applyBorder="1" applyFont="1">
      <alignment horizontal="center" shrinkToFit="0" vertical="bottom" wrapText="1"/>
    </xf>
    <xf borderId="20" fillId="4" fontId="3" numFmtId="0" xfId="0" applyAlignment="1" applyBorder="1" applyFont="1">
      <alignment horizontal="center" shrinkToFit="0" vertical="bottom" wrapText="1"/>
    </xf>
    <xf borderId="21" fillId="4" fontId="3" numFmtId="1" xfId="0" applyAlignment="1" applyBorder="1" applyFont="1" applyNumberFormat="1">
      <alignment horizontal="center" shrinkToFit="0" vertical="bottom" wrapText="1"/>
    </xf>
    <xf borderId="23" fillId="4" fontId="3" numFmtId="0" xfId="0" applyAlignment="1" applyBorder="1" applyFont="1">
      <alignment horizontal="center" shrinkToFit="0" vertical="bottom" wrapText="1"/>
    </xf>
    <xf borderId="24" fillId="4" fontId="3" numFmtId="0" xfId="0" applyAlignment="1" applyBorder="1" applyFont="1">
      <alignment horizontal="center" shrinkToFit="0" vertical="bottom" wrapText="1"/>
    </xf>
    <xf borderId="25" fillId="4" fontId="3" numFmtId="0" xfId="0" applyAlignment="1" applyBorder="1" applyFont="1">
      <alignment horizontal="center" shrinkToFit="0" vertical="bottom" wrapText="1"/>
    </xf>
    <xf borderId="8" fillId="4" fontId="3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Updated FRESHMAN 26-27 CTE Comp-style">
      <tableStyleElement dxfId="1" type="headerRow"/>
      <tableStyleElement dxfId="2" type="firstRowStripe"/>
      <tableStyleElement dxfId="3" type="secondRowStripe"/>
    </tableStyle>
    <tableStyle count="3" pivot="0" name="Original FRESHMAN 26-27 CTE Co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F67" displayName="Table_1" name="Table_1" id="1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Updated FRESHMAN 26-27 CTE Com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AF47" displayName="Table_2" name="Table_2" id="2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Original FRESHMAN 26-27 CTE Co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0"/>
    <col customWidth="1" min="2" max="2" width="14.5"/>
    <col customWidth="1" min="3" max="8" width="7.75"/>
    <col customWidth="1" hidden="1" min="9" max="11" width="7.75"/>
    <col customWidth="1" min="12" max="12" width="7.75"/>
    <col customWidth="1" hidden="1" min="13" max="13" width="7.75"/>
    <col customWidth="1" min="14" max="14" width="7.75"/>
    <col customWidth="1" min="15" max="19" width="17.75"/>
    <col customWidth="1" hidden="1" min="20" max="32" width="17.75"/>
  </cols>
  <sheetData>
    <row r="1">
      <c r="C1" s="1" t="s">
        <v>0</v>
      </c>
      <c r="F1" s="1" t="s">
        <v>1</v>
      </c>
      <c r="I1" s="2"/>
      <c r="J1" s="2"/>
      <c r="K1" s="2"/>
      <c r="L1" s="2"/>
      <c r="M1" s="2"/>
      <c r="N1" s="2"/>
    </row>
    <row r="2">
      <c r="A2" s="3" t="s">
        <v>2</v>
      </c>
      <c r="B2" s="4" t="s">
        <v>0</v>
      </c>
      <c r="C2" s="5" t="s">
        <v>3</v>
      </c>
      <c r="D2" s="6" t="s">
        <v>4</v>
      </c>
      <c r="E2" s="7" t="s">
        <v>5</v>
      </c>
      <c r="F2" s="5" t="s">
        <v>6</v>
      </c>
      <c r="G2" s="8" t="s">
        <v>7</v>
      </c>
      <c r="H2" s="7" t="s">
        <v>8</v>
      </c>
      <c r="I2" s="5" t="s">
        <v>9</v>
      </c>
      <c r="J2" s="9" t="s">
        <v>10</v>
      </c>
      <c r="K2" s="7" t="s">
        <v>11</v>
      </c>
      <c r="L2" s="10" t="s">
        <v>12</v>
      </c>
      <c r="M2" s="10" t="s">
        <v>13</v>
      </c>
      <c r="N2" s="10" t="s">
        <v>14</v>
      </c>
      <c r="O2" s="11">
        <v>1.0</v>
      </c>
      <c r="P2" s="3">
        <v>2.0</v>
      </c>
      <c r="Q2" s="3">
        <v>3.0</v>
      </c>
      <c r="R2" s="3">
        <v>4.0</v>
      </c>
      <c r="S2" s="3">
        <v>5.0</v>
      </c>
      <c r="T2" s="3">
        <v>6.0</v>
      </c>
      <c r="U2" s="3">
        <v>7.0</v>
      </c>
      <c r="V2" s="3">
        <v>8.0</v>
      </c>
      <c r="W2" s="3">
        <v>9.0</v>
      </c>
      <c r="X2" s="3">
        <v>10.0</v>
      </c>
      <c r="Y2" s="3">
        <v>11.0</v>
      </c>
      <c r="Z2" s="3">
        <v>12.0</v>
      </c>
      <c r="AA2" s="3">
        <v>13.0</v>
      </c>
      <c r="AB2" s="3">
        <v>14.0</v>
      </c>
      <c r="AC2" s="3">
        <v>15.0</v>
      </c>
      <c r="AD2" s="3">
        <v>16.0</v>
      </c>
      <c r="AE2" s="3">
        <v>17.0</v>
      </c>
      <c r="AF2" s="3">
        <v>18.0</v>
      </c>
    </row>
    <row r="3">
      <c r="A3" s="12">
        <v>2.0</v>
      </c>
      <c r="B3" s="13" t="s">
        <v>15</v>
      </c>
      <c r="C3" s="14">
        <v>333.0</v>
      </c>
      <c r="D3" s="15">
        <v>125.0</v>
      </c>
      <c r="E3" s="16">
        <v>45.0</v>
      </c>
      <c r="F3" s="14">
        <f>C3-D3-E3</f>
        <v>163</v>
      </c>
      <c r="G3" s="17">
        <f>C3*0.35</f>
        <v>116.55</v>
      </c>
      <c r="H3" s="16">
        <v>46.0</v>
      </c>
      <c r="I3" s="18">
        <v>2.0</v>
      </c>
      <c r="J3" s="19">
        <v>4.0</v>
      </c>
      <c r="K3" s="20">
        <v>7.0</v>
      </c>
      <c r="L3" s="19">
        <v>80.0</v>
      </c>
      <c r="M3" s="21">
        <f>L3-H3</f>
        <v>34</v>
      </c>
      <c r="N3" s="22">
        <f>(G3+H3)/sum(G3,O4,P4,Q4,R4,S4,T4,U4,V4,W4)</f>
        <v>0.8270160265</v>
      </c>
      <c r="O3" s="23" t="s">
        <v>16</v>
      </c>
      <c r="P3" s="23" t="s">
        <v>17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>
      <c r="A4" s="25"/>
      <c r="B4" s="13"/>
      <c r="C4" s="14"/>
      <c r="D4" s="25"/>
      <c r="E4" s="26"/>
      <c r="F4" s="27"/>
      <c r="G4" s="17"/>
      <c r="H4" s="26"/>
      <c r="I4" s="18"/>
      <c r="J4" s="28"/>
      <c r="K4" s="29"/>
      <c r="L4" s="28"/>
      <c r="M4" s="28"/>
      <c r="N4" s="30"/>
      <c r="O4" s="31">
        <v>40.0</v>
      </c>
      <c r="P4" s="31">
        <v>40.0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>
      <c r="A5" s="12">
        <v>1.0</v>
      </c>
      <c r="B5" s="13" t="s">
        <v>18</v>
      </c>
      <c r="C5" s="14">
        <v>607.0</v>
      </c>
      <c r="D5" s="15">
        <v>125.0</v>
      </c>
      <c r="E5" s="16">
        <v>0.0</v>
      </c>
      <c r="F5" s="14">
        <f>C5-D5-E5</f>
        <v>482</v>
      </c>
      <c r="G5" s="32">
        <v>164.0</v>
      </c>
      <c r="H5" s="33">
        <f>F5-G5</f>
        <v>318</v>
      </c>
      <c r="I5" s="18">
        <v>5.0</v>
      </c>
      <c r="J5" s="19">
        <v>11.0</v>
      </c>
      <c r="K5" s="20">
        <v>12.0</v>
      </c>
      <c r="L5" s="28">
        <f>sum(O6:S6)</f>
        <v>320</v>
      </c>
      <c r="M5" s="34">
        <f>L5-H5</f>
        <v>2</v>
      </c>
      <c r="N5" s="22">
        <f>(G5+H5)/sum(G5,O6,P6,Q6,R6,S6,T6,U6,V6,W6)</f>
        <v>0.9958677686</v>
      </c>
      <c r="O5" s="23" t="s">
        <v>19</v>
      </c>
      <c r="P5" s="23" t="s">
        <v>20</v>
      </c>
      <c r="Q5" s="23" t="s">
        <v>21</v>
      </c>
      <c r="R5" s="23" t="s">
        <v>22</v>
      </c>
      <c r="S5" s="23" t="s">
        <v>23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>
      <c r="A6" s="25"/>
      <c r="B6" s="13"/>
      <c r="C6" s="14"/>
      <c r="D6" s="25"/>
      <c r="E6" s="26"/>
      <c r="F6" s="27"/>
      <c r="G6" s="17"/>
      <c r="H6" s="26"/>
      <c r="I6" s="18"/>
      <c r="J6" s="28"/>
      <c r="K6" s="29"/>
      <c r="L6" s="28"/>
      <c r="M6" s="28"/>
      <c r="N6" s="30"/>
      <c r="O6" s="31">
        <v>60.0</v>
      </c>
      <c r="P6" s="31">
        <v>60.0</v>
      </c>
      <c r="Q6" s="31">
        <v>80.0</v>
      </c>
      <c r="R6" s="31">
        <v>60.0</v>
      </c>
      <c r="S6" s="31">
        <v>60.0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>
      <c r="A7" s="25">
        <v>23.0</v>
      </c>
      <c r="B7" s="35" t="s">
        <v>24</v>
      </c>
      <c r="C7" s="14">
        <v>246.0</v>
      </c>
      <c r="D7" s="15">
        <v>125.0</v>
      </c>
      <c r="E7" s="16">
        <v>0.0</v>
      </c>
      <c r="F7" s="14">
        <f>C7-D7-E7</f>
        <v>121</v>
      </c>
      <c r="G7" s="17">
        <f>C7*0.35</f>
        <v>86.1</v>
      </c>
      <c r="H7" s="33">
        <f>F7-G7</f>
        <v>34.9</v>
      </c>
      <c r="I7" s="36">
        <v>2.0</v>
      </c>
      <c r="J7" s="19">
        <v>2.0</v>
      </c>
      <c r="K7" s="20">
        <v>2.0</v>
      </c>
      <c r="L7" s="21">
        <v>40.0</v>
      </c>
      <c r="M7" s="34">
        <f>L7-H7</f>
        <v>5.1</v>
      </c>
      <c r="N7" s="22">
        <f>(G7+H7)/sum(G7,O8,P9,Q9,R9,S9,T9,U9,V9,W9)</f>
        <v>0.959555908</v>
      </c>
      <c r="O7" s="23" t="s">
        <v>25</v>
      </c>
      <c r="P7" s="23" t="s">
        <v>26</v>
      </c>
      <c r="Q7" s="23" t="s">
        <v>27</v>
      </c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>
      <c r="A8" s="25"/>
      <c r="B8" s="13"/>
      <c r="C8" s="14"/>
      <c r="D8" s="25"/>
      <c r="E8" s="26"/>
      <c r="F8" s="27"/>
      <c r="G8" s="17"/>
      <c r="H8" s="26"/>
      <c r="I8" s="18"/>
      <c r="J8" s="28"/>
      <c r="K8" s="29"/>
      <c r="L8" s="28"/>
      <c r="M8" s="28"/>
      <c r="N8" s="30"/>
      <c r="O8" s="31">
        <v>40.0</v>
      </c>
      <c r="P8" s="31">
        <v>0.0</v>
      </c>
      <c r="Q8" s="31">
        <v>0.0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>
      <c r="A9" s="25">
        <v>28.0</v>
      </c>
      <c r="B9" s="13" t="s">
        <v>28</v>
      </c>
      <c r="C9" s="14">
        <v>358.0</v>
      </c>
      <c r="D9" s="15">
        <v>125.0</v>
      </c>
      <c r="E9" s="16">
        <v>0.0</v>
      </c>
      <c r="F9" s="14">
        <f>C9-D9-E9</f>
        <v>233</v>
      </c>
      <c r="G9" s="32">
        <v>131.0</v>
      </c>
      <c r="H9" s="33">
        <f>F9-G9</f>
        <v>102</v>
      </c>
      <c r="I9" s="18">
        <v>2.0</v>
      </c>
      <c r="J9" s="19">
        <v>4.0</v>
      </c>
      <c r="K9" s="20">
        <v>5.0</v>
      </c>
      <c r="L9" s="19">
        <v>100.0</v>
      </c>
      <c r="M9" s="34">
        <f>L9-H9</f>
        <v>-2</v>
      </c>
      <c r="N9" s="22">
        <f>(G9+H9)/sum(G9,O10,P10,Q10,R10,S10,T10,U10,V10,W10)</f>
        <v>1.008658009</v>
      </c>
      <c r="O9" s="23" t="s">
        <v>20</v>
      </c>
      <c r="P9" s="23" t="s">
        <v>29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>
      <c r="A10" s="25"/>
      <c r="B10" s="13"/>
      <c r="C10" s="14"/>
      <c r="D10" s="25"/>
      <c r="E10" s="26"/>
      <c r="F10" s="27"/>
      <c r="G10" s="17"/>
      <c r="H10" s="26"/>
      <c r="I10" s="18"/>
      <c r="J10" s="28"/>
      <c r="K10" s="29"/>
      <c r="L10" s="28"/>
      <c r="M10" s="28"/>
      <c r="N10" s="30"/>
      <c r="O10" s="31">
        <v>50.0</v>
      </c>
      <c r="P10" s="31">
        <v>50.0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>
      <c r="A11" s="25">
        <v>6.0</v>
      </c>
      <c r="B11" s="37" t="s">
        <v>30</v>
      </c>
      <c r="C11" s="14">
        <v>388.0</v>
      </c>
      <c r="D11" s="15">
        <v>125.0</v>
      </c>
      <c r="E11" s="38">
        <v>75.0</v>
      </c>
      <c r="F11" s="14">
        <f>C11-D11-E11</f>
        <v>188</v>
      </c>
      <c r="G11" s="17">
        <f>C11*0.35</f>
        <v>135.8</v>
      </c>
      <c r="H11" s="33">
        <f>F11-G11</f>
        <v>52.2</v>
      </c>
      <c r="I11" s="18">
        <v>2.0</v>
      </c>
      <c r="J11" s="19">
        <v>2.0</v>
      </c>
      <c r="K11" s="20">
        <v>8.0</v>
      </c>
      <c r="L11" s="21">
        <v>60.0</v>
      </c>
      <c r="M11" s="34">
        <f>L11-H11</f>
        <v>7.8</v>
      </c>
      <c r="N11" s="22">
        <f>(G11+H11)/sum(G11,O12,P12,Q12,R13,S13,T13,U13,V13,W13)</f>
        <v>0.9601634321</v>
      </c>
      <c r="O11" s="23" t="s">
        <v>31</v>
      </c>
      <c r="P11" s="23" t="s">
        <v>32</v>
      </c>
      <c r="Q11" s="39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>
      <c r="A12" s="25"/>
      <c r="B12" s="13"/>
      <c r="C12" s="14"/>
      <c r="D12" s="25"/>
      <c r="E12" s="26"/>
      <c r="F12" s="27"/>
      <c r="G12" s="17"/>
      <c r="H12" s="26"/>
      <c r="I12" s="18"/>
      <c r="J12" s="28"/>
      <c r="K12" s="29"/>
      <c r="L12" s="28"/>
      <c r="M12" s="28"/>
      <c r="N12" s="30"/>
      <c r="O12" s="31">
        <v>60.0</v>
      </c>
      <c r="P12" s="31">
        <v>0.0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>
      <c r="A13" s="25">
        <v>7.0</v>
      </c>
      <c r="B13" s="35" t="s">
        <v>33</v>
      </c>
      <c r="C13" s="14">
        <v>421.0</v>
      </c>
      <c r="D13" s="15">
        <v>125.0</v>
      </c>
      <c r="E13" s="38">
        <v>100.0</v>
      </c>
      <c r="F13" s="14">
        <f>C13-D13-E13</f>
        <v>196</v>
      </c>
      <c r="G13" s="32">
        <v>150.0</v>
      </c>
      <c r="H13" s="33">
        <f>F13-G13</f>
        <v>46</v>
      </c>
      <c r="I13" s="36">
        <v>3.0</v>
      </c>
      <c r="J13" s="19">
        <v>3.0</v>
      </c>
      <c r="K13" s="20">
        <v>6.0</v>
      </c>
      <c r="L13" s="21">
        <f>sum(O14:Q14)</f>
        <v>80</v>
      </c>
      <c r="M13" s="34">
        <f>L13-H13</f>
        <v>34</v>
      </c>
      <c r="N13" s="22">
        <f>(G13+H13)/sum(G13,O14,P14,Q14,R14,S15,T15,U15,V15,W15)</f>
        <v>0.852173913</v>
      </c>
      <c r="O13" s="23" t="s">
        <v>34</v>
      </c>
      <c r="P13" s="23" t="s">
        <v>35</v>
      </c>
      <c r="Q13" s="23" t="s">
        <v>36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>
      <c r="A14" s="25"/>
      <c r="B14" s="13"/>
      <c r="C14" s="14"/>
      <c r="D14" s="25"/>
      <c r="E14" s="16"/>
      <c r="F14" s="27"/>
      <c r="G14" s="17"/>
      <c r="H14" s="26"/>
      <c r="I14" s="18"/>
      <c r="J14" s="28"/>
      <c r="K14" s="29"/>
      <c r="L14" s="28"/>
      <c r="M14" s="28"/>
      <c r="N14" s="28"/>
      <c r="O14" s="31">
        <v>40.0</v>
      </c>
      <c r="P14" s="31">
        <v>40.0</v>
      </c>
      <c r="Q14" s="31">
        <v>0.0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>
      <c r="A15" s="25">
        <v>8.0</v>
      </c>
      <c r="B15" s="40" t="s">
        <v>37</v>
      </c>
      <c r="C15" s="14">
        <v>347.0</v>
      </c>
      <c r="D15" s="15">
        <v>125.0</v>
      </c>
      <c r="E15" s="16">
        <v>0.0</v>
      </c>
      <c r="F15" s="14">
        <f>C15-D15-E15</f>
        <v>222</v>
      </c>
      <c r="G15" s="17">
        <f>C15*0.35</f>
        <v>121.45</v>
      </c>
      <c r="H15" s="33">
        <f>F15-G15</f>
        <v>100.55</v>
      </c>
      <c r="I15" s="36">
        <v>3.0</v>
      </c>
      <c r="J15" s="19">
        <v>4.0</v>
      </c>
      <c r="K15" s="20">
        <v>6.0</v>
      </c>
      <c r="L15" s="19">
        <f>sum(O16:Q16)</f>
        <v>80</v>
      </c>
      <c r="M15" s="34">
        <f>L15-H15</f>
        <v>-20.55</v>
      </c>
      <c r="N15" s="22">
        <f>(G15+H15)/sum(G15,O16,P16,Q16,R17,S17,T17,U17,V17,W17)</f>
        <v>1.102010424</v>
      </c>
      <c r="O15" s="23" t="s">
        <v>38</v>
      </c>
      <c r="P15" s="23" t="s">
        <v>39</v>
      </c>
      <c r="Q15" s="23" t="s">
        <v>20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>
      <c r="A16" s="25"/>
      <c r="B16" s="13"/>
      <c r="C16" s="14"/>
      <c r="D16" s="25"/>
      <c r="E16" s="26"/>
      <c r="F16" s="27"/>
      <c r="G16" s="17"/>
      <c r="H16" s="26"/>
      <c r="I16" s="18"/>
      <c r="J16" s="28"/>
      <c r="K16" s="29"/>
      <c r="L16" s="28"/>
      <c r="M16" s="28"/>
      <c r="N16" s="28"/>
      <c r="O16" s="31">
        <v>0.0</v>
      </c>
      <c r="P16" s="31">
        <v>40.0</v>
      </c>
      <c r="Q16" s="31">
        <v>40.0</v>
      </c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>
      <c r="A17" s="25">
        <v>9.0</v>
      </c>
      <c r="B17" s="37" t="s">
        <v>40</v>
      </c>
      <c r="C17" s="14">
        <v>202.0</v>
      </c>
      <c r="D17" s="15">
        <v>125.0</v>
      </c>
      <c r="E17" s="16">
        <v>0.0</v>
      </c>
      <c r="F17" s="14">
        <f>C17-D17-E17</f>
        <v>77</v>
      </c>
      <c r="G17" s="32">
        <v>45.0</v>
      </c>
      <c r="H17" s="33">
        <f>F17-G17</f>
        <v>32</v>
      </c>
      <c r="I17" s="18">
        <v>2.0</v>
      </c>
      <c r="J17" s="19">
        <v>2.0</v>
      </c>
      <c r="K17" s="20">
        <v>2.0</v>
      </c>
      <c r="L17" s="41">
        <f>sum(O18:P18)</f>
        <v>80</v>
      </c>
      <c r="M17" s="34">
        <f>L17-H17</f>
        <v>48</v>
      </c>
      <c r="N17" s="22">
        <f>(G17+H17)/sum(G17,O18,P18,Q19,R19,S19,T19,U19,V19,W19)</f>
        <v>0.616</v>
      </c>
      <c r="O17" s="23" t="s">
        <v>41</v>
      </c>
      <c r="P17" s="23" t="s">
        <v>20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>
      <c r="A18" s="25"/>
      <c r="B18" s="13"/>
      <c r="C18" s="14"/>
      <c r="D18" s="25"/>
      <c r="E18" s="26"/>
      <c r="F18" s="27"/>
      <c r="G18" s="17"/>
      <c r="H18" s="26"/>
      <c r="I18" s="18"/>
      <c r="J18" s="28"/>
      <c r="K18" s="29"/>
      <c r="L18" s="28"/>
      <c r="M18" s="28"/>
      <c r="N18" s="28"/>
      <c r="O18" s="31">
        <v>40.0</v>
      </c>
      <c r="P18" s="31">
        <v>40.0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>
      <c r="A19" s="25">
        <v>32.0</v>
      </c>
      <c r="B19" s="37" t="s">
        <v>42</v>
      </c>
      <c r="C19" s="14">
        <v>62.0</v>
      </c>
      <c r="D19" s="15">
        <v>50.0</v>
      </c>
      <c r="E19" s="16">
        <v>0.0</v>
      </c>
      <c r="F19" s="14">
        <f>C19-D19-E19</f>
        <v>12</v>
      </c>
      <c r="G19" s="32">
        <v>28.0</v>
      </c>
      <c r="H19" s="33">
        <f>F19-G19</f>
        <v>-16</v>
      </c>
      <c r="I19" s="18">
        <v>1.0</v>
      </c>
      <c r="J19" s="19">
        <v>1.0</v>
      </c>
      <c r="K19" s="20">
        <v>2.0</v>
      </c>
      <c r="L19" s="21">
        <v>40.0</v>
      </c>
      <c r="M19" s="34">
        <f>L19-H19</f>
        <v>56</v>
      </c>
      <c r="N19" s="22">
        <f>(G19+H19)/sum(G19,O20,P20,Q20,R20,S21,T21,U21,V21,W21)</f>
        <v>0.1764705882</v>
      </c>
      <c r="O19" s="23" t="s">
        <v>43</v>
      </c>
      <c r="P19" s="24"/>
      <c r="Q19" s="42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>
      <c r="A20" s="25"/>
      <c r="B20" s="37"/>
      <c r="C20" s="14"/>
      <c r="D20" s="15"/>
      <c r="E20" s="16"/>
      <c r="F20" s="14"/>
      <c r="G20" s="17"/>
      <c r="H20" s="26"/>
      <c r="I20" s="18"/>
      <c r="J20" s="19"/>
      <c r="K20" s="20"/>
      <c r="L20" s="41"/>
      <c r="M20" s="21"/>
      <c r="N20" s="22"/>
      <c r="O20" s="31">
        <v>40.0</v>
      </c>
      <c r="P20" s="24"/>
      <c r="Q20" s="42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>
      <c r="A21" s="25">
        <v>5.0</v>
      </c>
      <c r="B21" s="40" t="s">
        <v>44</v>
      </c>
      <c r="C21" s="14">
        <v>493.0</v>
      </c>
      <c r="D21" s="15">
        <v>125.0</v>
      </c>
      <c r="E21" s="16">
        <v>0.0</v>
      </c>
      <c r="F21" s="14">
        <f>C21-D21-E21</f>
        <v>368</v>
      </c>
      <c r="G21" s="17">
        <f>C21*0.35</f>
        <v>172.55</v>
      </c>
      <c r="H21" s="33">
        <f>F21-G21</f>
        <v>195.45</v>
      </c>
      <c r="I21" s="18">
        <v>4.0</v>
      </c>
      <c r="J21" s="19">
        <v>8.0</v>
      </c>
      <c r="K21" s="20">
        <v>10.0</v>
      </c>
      <c r="L21" s="28">
        <f>sum(O22:S22)</f>
        <v>200</v>
      </c>
      <c r="M21" s="34">
        <f>L21-H21</f>
        <v>4.55</v>
      </c>
      <c r="N21" s="22">
        <f>(G21+H21)/sum(G21,O22,P22,Q22,R22,S22,T22,U22,V22,W22)</f>
        <v>0.9877868742</v>
      </c>
      <c r="O21" s="23" t="s">
        <v>45</v>
      </c>
      <c r="P21" s="23" t="s">
        <v>46</v>
      </c>
      <c r="Q21" s="23" t="s">
        <v>35</v>
      </c>
      <c r="R21" s="23" t="s">
        <v>47</v>
      </c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>
      <c r="A22" s="25"/>
      <c r="B22" s="13"/>
      <c r="C22" s="14"/>
      <c r="D22" s="25"/>
      <c r="E22" s="26"/>
      <c r="F22" s="27"/>
      <c r="G22" s="17"/>
      <c r="H22" s="26"/>
      <c r="I22" s="18"/>
      <c r="J22" s="28"/>
      <c r="K22" s="29"/>
      <c r="L22" s="28"/>
      <c r="M22" s="28"/>
      <c r="N22" s="28"/>
      <c r="O22" s="31">
        <v>80.0</v>
      </c>
      <c r="P22" s="31">
        <v>40.0</v>
      </c>
      <c r="Q22" s="31">
        <v>40.0</v>
      </c>
      <c r="R22" s="31">
        <v>40.0</v>
      </c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>
      <c r="A23" s="25">
        <v>24.0</v>
      </c>
      <c r="B23" s="40" t="s">
        <v>48</v>
      </c>
      <c r="C23" s="14">
        <v>307.0</v>
      </c>
      <c r="D23" s="15">
        <v>125.0</v>
      </c>
      <c r="E23" s="16">
        <v>0.0</v>
      </c>
      <c r="F23" s="14">
        <f>C23-D23-E23</f>
        <v>182</v>
      </c>
      <c r="G23" s="32">
        <v>111.0</v>
      </c>
      <c r="H23" s="33">
        <f>F23-G23</f>
        <v>71</v>
      </c>
      <c r="I23" s="36">
        <v>2.0</v>
      </c>
      <c r="J23" s="19">
        <v>3.0</v>
      </c>
      <c r="K23" s="20">
        <v>5.0</v>
      </c>
      <c r="L23" s="19">
        <f>sum(O24:P24)</f>
        <v>80</v>
      </c>
      <c r="M23" s="34">
        <f>L23-H23</f>
        <v>9</v>
      </c>
      <c r="N23" s="22">
        <f>(G23+H23)/sum(G23,O24,P24,Q25,R25,S25,T25,U25,V25,W25)</f>
        <v>0.9528795812</v>
      </c>
      <c r="O23" s="23" t="s">
        <v>49</v>
      </c>
      <c r="P23" s="23" t="s">
        <v>23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>
      <c r="A24" s="25"/>
      <c r="B24" s="40"/>
      <c r="C24" s="14"/>
      <c r="D24" s="15"/>
      <c r="E24" s="16"/>
      <c r="F24" s="14"/>
      <c r="G24" s="17"/>
      <c r="H24" s="26"/>
      <c r="I24" s="36"/>
      <c r="J24" s="19"/>
      <c r="K24" s="20"/>
      <c r="L24" s="19"/>
      <c r="M24" s="21"/>
      <c r="N24" s="22"/>
      <c r="O24" s="31">
        <v>40.0</v>
      </c>
      <c r="P24" s="31">
        <v>40.0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>
      <c r="A25" s="25">
        <v>12.0</v>
      </c>
      <c r="B25" s="13" t="s">
        <v>50</v>
      </c>
      <c r="C25" s="14">
        <v>329.0</v>
      </c>
      <c r="D25" s="15">
        <v>125.0</v>
      </c>
      <c r="E25" s="16">
        <v>0.0</v>
      </c>
      <c r="F25" s="14">
        <f>C25-D25-E25</f>
        <v>204</v>
      </c>
      <c r="G25" s="17">
        <f>C25*0.35</f>
        <v>115.15</v>
      </c>
      <c r="H25" s="33">
        <f>F25-G25</f>
        <v>88.85</v>
      </c>
      <c r="I25" s="18">
        <v>3.0</v>
      </c>
      <c r="J25" s="19">
        <v>4.0</v>
      </c>
      <c r="K25" s="20">
        <v>8.0</v>
      </c>
      <c r="L25" s="19">
        <v>90.0</v>
      </c>
      <c r="M25" s="34">
        <f>L25-H25</f>
        <v>1.15</v>
      </c>
      <c r="N25" s="22">
        <f>(G25+H25)/sum(G25,O26,P26,Q26,R27,S27,T27,U27,V27,W27)</f>
        <v>0.9943943456</v>
      </c>
      <c r="O25" s="23" t="s">
        <v>39</v>
      </c>
      <c r="P25" s="23" t="s">
        <v>25</v>
      </c>
      <c r="Q25" s="23" t="s">
        <v>51</v>
      </c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>
      <c r="A26" s="25"/>
      <c r="B26" s="13"/>
      <c r="C26" s="14"/>
      <c r="D26" s="15"/>
      <c r="E26" s="16"/>
      <c r="F26" s="14"/>
      <c r="G26" s="17"/>
      <c r="H26" s="26"/>
      <c r="I26" s="18"/>
      <c r="J26" s="19"/>
      <c r="K26" s="20"/>
      <c r="L26" s="19"/>
      <c r="M26" s="21"/>
      <c r="N26" s="22"/>
      <c r="O26" s="31">
        <v>45.0</v>
      </c>
      <c r="P26" s="31">
        <v>45.0</v>
      </c>
      <c r="Q26" s="31">
        <v>0.0</v>
      </c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>
      <c r="A27" s="25">
        <v>13.0</v>
      </c>
      <c r="B27" s="13" t="s">
        <v>52</v>
      </c>
      <c r="C27" s="14">
        <v>294.0</v>
      </c>
      <c r="D27" s="15">
        <v>125.0</v>
      </c>
      <c r="E27" s="16">
        <v>0.0</v>
      </c>
      <c r="F27" s="14">
        <f>C27-D27-E27</f>
        <v>169</v>
      </c>
      <c r="G27" s="17">
        <f>C27*0.35</f>
        <v>102.9</v>
      </c>
      <c r="H27" s="33">
        <f>F27-G27</f>
        <v>66.1</v>
      </c>
      <c r="I27" s="18">
        <v>2.0</v>
      </c>
      <c r="J27" s="19">
        <v>3.0</v>
      </c>
      <c r="K27" s="20">
        <v>4.0</v>
      </c>
      <c r="L27" s="28">
        <f>sum(O28:Q28)</f>
        <v>80</v>
      </c>
      <c r="M27" s="34">
        <f>L27-H27</f>
        <v>13.9</v>
      </c>
      <c r="N27" s="22">
        <f>(G27+H27)/sum(G27,O28,P28,Q28,R29,S29,T29,U29,V29,W29)</f>
        <v>0.924002187</v>
      </c>
      <c r="O27" s="23" t="s">
        <v>20</v>
      </c>
      <c r="P27" s="23" t="s">
        <v>53</v>
      </c>
      <c r="Q27" s="23" t="s">
        <v>54</v>
      </c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>
      <c r="A28" s="25"/>
      <c r="B28" s="13"/>
      <c r="C28" s="14"/>
      <c r="D28" s="15"/>
      <c r="E28" s="16"/>
      <c r="F28" s="14"/>
      <c r="G28" s="17"/>
      <c r="H28" s="26"/>
      <c r="I28" s="18"/>
      <c r="J28" s="19"/>
      <c r="K28" s="20"/>
      <c r="L28" s="28"/>
      <c r="M28" s="21"/>
      <c r="N28" s="22"/>
      <c r="O28" s="31">
        <v>40.0</v>
      </c>
      <c r="P28" s="31">
        <v>40.0</v>
      </c>
      <c r="Q28" s="31">
        <v>0.0</v>
      </c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>
      <c r="A29" s="43">
        <v>14.0</v>
      </c>
      <c r="B29" s="44" t="s">
        <v>55</v>
      </c>
      <c r="C29" s="45">
        <v>437.0</v>
      </c>
      <c r="D29" s="46">
        <v>125.0</v>
      </c>
      <c r="E29" s="47">
        <v>0.0</v>
      </c>
      <c r="F29" s="45">
        <f>C29-D29-E29</f>
        <v>312</v>
      </c>
      <c r="G29" s="48">
        <v>73.0</v>
      </c>
      <c r="H29" s="47">
        <v>239.0</v>
      </c>
      <c r="I29" s="49">
        <v>2.0</v>
      </c>
      <c r="J29" s="50">
        <v>6.0</v>
      </c>
      <c r="K29" s="51">
        <v>6.0</v>
      </c>
      <c r="L29" s="50">
        <f>sum(O30:P30)</f>
        <v>240</v>
      </c>
      <c r="M29" s="50">
        <f>L29-H29</f>
        <v>1</v>
      </c>
      <c r="N29" s="52">
        <f>(G29+H29)/sum(G29,O30,P30,Q31,R31,S31,T31,U31,V31,W31)</f>
        <v>0.9968051118</v>
      </c>
      <c r="O29" s="53" t="s">
        <v>56</v>
      </c>
      <c r="P29" s="53" t="s">
        <v>57</v>
      </c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</row>
    <row r="30">
      <c r="A30" s="43"/>
      <c r="B30" s="44"/>
      <c r="C30" s="45"/>
      <c r="D30" s="46"/>
      <c r="E30" s="47"/>
      <c r="F30" s="45"/>
      <c r="G30" s="48"/>
      <c r="H30" s="55"/>
      <c r="I30" s="49"/>
      <c r="J30" s="50"/>
      <c r="K30" s="51"/>
      <c r="L30" s="50"/>
      <c r="M30" s="50"/>
      <c r="N30" s="56"/>
      <c r="O30" s="57">
        <v>120.0</v>
      </c>
      <c r="P30" s="57">
        <v>120.0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</row>
    <row r="31">
      <c r="A31" s="25">
        <v>15.0</v>
      </c>
      <c r="B31" s="13" t="s">
        <v>58</v>
      </c>
      <c r="C31" s="14">
        <v>512.0</v>
      </c>
      <c r="D31" s="15">
        <v>125.0</v>
      </c>
      <c r="E31" s="16">
        <v>0.0</v>
      </c>
      <c r="F31" s="14">
        <f>C31-D31-E31</f>
        <v>387</v>
      </c>
      <c r="G31" s="17">
        <f>C31*0.35</f>
        <v>179.2</v>
      </c>
      <c r="H31" s="33">
        <f>F31-G31</f>
        <v>207.8</v>
      </c>
      <c r="I31" s="18">
        <v>4.0</v>
      </c>
      <c r="J31" s="19">
        <v>8.0</v>
      </c>
      <c r="K31" s="20">
        <v>10.0</v>
      </c>
      <c r="L31" s="28">
        <f>sum(O32:S32)</f>
        <v>220</v>
      </c>
      <c r="M31" s="34">
        <f>L31-H31</f>
        <v>12.2</v>
      </c>
      <c r="N31" s="22">
        <f>(G31+H31)/sum(G31,O32,P32,Q32,R32,S32,T32,U32,V32,W32)</f>
        <v>0.9694388778</v>
      </c>
      <c r="O31" s="23" t="s">
        <v>59</v>
      </c>
      <c r="P31" s="23" t="s">
        <v>60</v>
      </c>
      <c r="Q31" s="23" t="s">
        <v>49</v>
      </c>
      <c r="R31" s="23" t="s">
        <v>61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>
      <c r="A32" s="25"/>
      <c r="B32" s="13"/>
      <c r="C32" s="14"/>
      <c r="D32" s="15"/>
      <c r="E32" s="16"/>
      <c r="F32" s="14"/>
      <c r="G32" s="17"/>
      <c r="H32" s="26"/>
      <c r="I32" s="18"/>
      <c r="J32" s="19"/>
      <c r="K32" s="20"/>
      <c r="L32" s="28"/>
      <c r="M32" s="21"/>
      <c r="N32" s="22"/>
      <c r="O32" s="31">
        <v>60.0</v>
      </c>
      <c r="P32" s="31">
        <v>60.0</v>
      </c>
      <c r="Q32" s="31">
        <v>40.0</v>
      </c>
      <c r="R32" s="31">
        <v>60.0</v>
      </c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>
      <c r="A33" s="25">
        <v>16.0</v>
      </c>
      <c r="B33" s="40" t="s">
        <v>62</v>
      </c>
      <c r="C33" s="14">
        <v>425.0</v>
      </c>
      <c r="D33" s="15">
        <v>125.0</v>
      </c>
      <c r="E33" s="16">
        <v>0.0</v>
      </c>
      <c r="F33" s="14">
        <f>C33-D33-E33</f>
        <v>300</v>
      </c>
      <c r="G33" s="17">
        <f>C33*0.35</f>
        <v>148.75</v>
      </c>
      <c r="H33" s="33">
        <f>F33-G33</f>
        <v>151.25</v>
      </c>
      <c r="I33" s="18">
        <v>3.0</v>
      </c>
      <c r="J33" s="19">
        <v>6.0</v>
      </c>
      <c r="K33" s="20">
        <v>7.0</v>
      </c>
      <c r="L33" s="28">
        <f>sum(O34:Q34)</f>
        <v>150</v>
      </c>
      <c r="M33" s="34">
        <f>L33-H33</f>
        <v>-1.25</v>
      </c>
      <c r="N33" s="22">
        <f>(G33+H33)/sum(G33,O34,P34,Q34,R35,S35,T35,U35,V35,W35)</f>
        <v>1.0041841</v>
      </c>
      <c r="O33" s="23" t="s">
        <v>31</v>
      </c>
      <c r="P33" s="23" t="s">
        <v>63</v>
      </c>
      <c r="Q33" s="23" t="s">
        <v>23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>
      <c r="A34" s="25"/>
      <c r="B34" s="40"/>
      <c r="C34" s="14"/>
      <c r="D34" s="15"/>
      <c r="E34" s="16"/>
      <c r="F34" s="14"/>
      <c r="G34" s="17"/>
      <c r="H34" s="26"/>
      <c r="I34" s="18"/>
      <c r="J34" s="19"/>
      <c r="K34" s="20"/>
      <c r="L34" s="28"/>
      <c r="M34" s="21"/>
      <c r="N34" s="22"/>
      <c r="O34" s="31">
        <v>50.0</v>
      </c>
      <c r="P34" s="31">
        <v>50.0</v>
      </c>
      <c r="Q34" s="31">
        <v>50.0</v>
      </c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>
      <c r="A35" s="25">
        <v>17.0</v>
      </c>
      <c r="B35" s="13" t="s">
        <v>64</v>
      </c>
      <c r="C35" s="14">
        <v>376.0</v>
      </c>
      <c r="D35" s="15">
        <v>60.0</v>
      </c>
      <c r="E35" s="16">
        <v>0.0</v>
      </c>
      <c r="F35" s="14">
        <f>C35-D35-E35</f>
        <v>316</v>
      </c>
      <c r="G35" s="32">
        <v>88.0</v>
      </c>
      <c r="H35" s="16">
        <v>228.0</v>
      </c>
      <c r="I35" s="18">
        <v>4.0</v>
      </c>
      <c r="J35" s="19">
        <v>8.0</v>
      </c>
      <c r="K35" s="20">
        <v>9.0</v>
      </c>
      <c r="L35" s="28">
        <f>sum(O36:R36)</f>
        <v>230</v>
      </c>
      <c r="M35" s="21">
        <f>L35-H35</f>
        <v>2</v>
      </c>
      <c r="N35" s="22">
        <f>(G35+H35)/sum(G35,O36,P36,Q36,R36,S36,T36,U36,V36,W36)</f>
        <v>0.9937106918</v>
      </c>
      <c r="O35" s="23" t="s">
        <v>65</v>
      </c>
      <c r="P35" s="23" t="s">
        <v>66</v>
      </c>
      <c r="Q35" s="23" t="s">
        <v>67</v>
      </c>
      <c r="R35" s="23" t="s">
        <v>68</v>
      </c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>
      <c r="A36" s="58"/>
      <c r="B36" s="59"/>
      <c r="C36" s="60"/>
      <c r="D36" s="61"/>
      <c r="E36" s="62"/>
      <c r="F36" s="60"/>
      <c r="G36" s="63"/>
      <c r="H36" s="64"/>
      <c r="I36" s="65"/>
      <c r="J36" s="66"/>
      <c r="K36" s="67"/>
      <c r="L36" s="68"/>
      <c r="M36" s="66"/>
      <c r="N36" s="69"/>
      <c r="O36" s="70">
        <v>60.0</v>
      </c>
      <c r="P36" s="70">
        <v>50.0</v>
      </c>
      <c r="Q36" s="70">
        <v>60.0</v>
      </c>
      <c r="R36" s="70">
        <v>60.0</v>
      </c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</row>
    <row r="37">
      <c r="A37" s="25">
        <v>18.0</v>
      </c>
      <c r="B37" s="40" t="s">
        <v>69</v>
      </c>
      <c r="C37" s="14">
        <v>548.0</v>
      </c>
      <c r="D37" s="15">
        <v>125.0</v>
      </c>
      <c r="E37" s="16">
        <v>0.0</v>
      </c>
      <c r="F37" s="14">
        <f>C37-D37-E37</f>
        <v>423</v>
      </c>
      <c r="G37" s="17">
        <f>C37*0.35</f>
        <v>191.8</v>
      </c>
      <c r="H37" s="33">
        <f>F37-G37</f>
        <v>231.2</v>
      </c>
      <c r="I37" s="18">
        <v>3.0</v>
      </c>
      <c r="J37" s="19">
        <v>10.0</v>
      </c>
      <c r="K37" s="20">
        <v>8.0</v>
      </c>
      <c r="L37" s="28">
        <f>sum(O38:Q38)</f>
        <v>250</v>
      </c>
      <c r="M37" s="34">
        <f>L37-H37</f>
        <v>18.8</v>
      </c>
      <c r="N37" s="22">
        <f>(G37+H37)/sum(G37,O38,P38,Q39,R39,S39,T39,U39,V39,W39)</f>
        <v>0.9574468085</v>
      </c>
      <c r="O37" s="23" t="s">
        <v>70</v>
      </c>
      <c r="P37" s="23" t="s">
        <v>71</v>
      </c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>
      <c r="A38" s="25"/>
      <c r="B38" s="40"/>
      <c r="C38" s="14"/>
      <c r="D38" s="15"/>
      <c r="E38" s="16"/>
      <c r="F38" s="14"/>
      <c r="G38" s="17"/>
      <c r="H38" s="26"/>
      <c r="I38" s="18"/>
      <c r="J38" s="19"/>
      <c r="K38" s="20"/>
      <c r="L38" s="28"/>
      <c r="M38" s="21"/>
      <c r="N38" s="22"/>
      <c r="O38" s="31">
        <v>50.0</v>
      </c>
      <c r="P38" s="31">
        <v>200.0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>
      <c r="A39" s="72"/>
      <c r="B39" s="73" t="s">
        <v>72</v>
      </c>
      <c r="C39" s="74"/>
      <c r="D39" s="72"/>
      <c r="E39" s="75"/>
      <c r="F39" s="76"/>
      <c r="G39" s="77"/>
      <c r="H39" s="75"/>
      <c r="I39" s="78"/>
      <c r="J39" s="79" t="str">
        <f t="shared" ref="J39:K39" si="1">sum(#REF!)</f>
        <v>#REF!</v>
      </c>
      <c r="K39" s="80" t="str">
        <f t="shared" si="1"/>
        <v>#REF!</v>
      </c>
      <c r="L39" s="79"/>
      <c r="M39" s="79"/>
      <c r="N39" s="79"/>
      <c r="O39" s="81"/>
      <c r="P39" s="81"/>
      <c r="Q39" s="81"/>
      <c r="R39" s="82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</row>
    <row r="40">
      <c r="A40" s="25">
        <v>21.0</v>
      </c>
      <c r="B40" s="13" t="s">
        <v>73</v>
      </c>
      <c r="C40" s="14">
        <v>490.0</v>
      </c>
      <c r="D40" s="15">
        <v>125.0</v>
      </c>
      <c r="E40" s="16">
        <v>0.0</v>
      </c>
      <c r="F40" s="14">
        <f>C40-D40-E40</f>
        <v>365</v>
      </c>
      <c r="G40" s="17">
        <f>C40*0.35</f>
        <v>171.5</v>
      </c>
      <c r="H40" s="33">
        <f>F40-G40</f>
        <v>193.5</v>
      </c>
      <c r="I40" s="36">
        <v>4.0</v>
      </c>
      <c r="J40" s="19">
        <v>8.0</v>
      </c>
      <c r="K40" s="20">
        <v>8.0</v>
      </c>
      <c r="L40" s="19">
        <f>sum(O41:R41)</f>
        <v>190</v>
      </c>
      <c r="M40" s="34">
        <f>L40-H40</f>
        <v>-3.5</v>
      </c>
      <c r="N40" s="22">
        <f>(G40+H40)/sum(G40,O41,P41,Q41,R41,S41,T41,U41,V41,W41)</f>
        <v>1.009681881</v>
      </c>
      <c r="O40" s="23" t="s">
        <v>74</v>
      </c>
      <c r="P40" s="23" t="s">
        <v>57</v>
      </c>
      <c r="Q40" s="23" t="s">
        <v>75</v>
      </c>
      <c r="R40" s="23" t="s">
        <v>76</v>
      </c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>
      <c r="A41" s="25"/>
      <c r="B41" s="13"/>
      <c r="C41" s="14"/>
      <c r="D41" s="25"/>
      <c r="E41" s="26"/>
      <c r="F41" s="27"/>
      <c r="G41" s="17"/>
      <c r="H41" s="26"/>
      <c r="I41" s="18"/>
      <c r="J41" s="28"/>
      <c r="K41" s="29"/>
      <c r="L41" s="28"/>
      <c r="M41" s="28"/>
      <c r="N41" s="28"/>
      <c r="O41" s="31">
        <v>0.0</v>
      </c>
      <c r="P41" s="31">
        <v>80.0</v>
      </c>
      <c r="Q41" s="31">
        <v>60.0</v>
      </c>
      <c r="R41" s="31">
        <v>50.0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>
      <c r="A42" s="25">
        <v>380.0</v>
      </c>
      <c r="B42" s="35" t="s">
        <v>77</v>
      </c>
      <c r="C42" s="14">
        <v>195.0</v>
      </c>
      <c r="D42" s="15">
        <v>125.0</v>
      </c>
      <c r="E42" s="16">
        <v>0.0</v>
      </c>
      <c r="F42" s="14">
        <f>C42-D42-E42</f>
        <v>70</v>
      </c>
      <c r="G42" s="17">
        <f>C42*0.35</f>
        <v>68.25</v>
      </c>
      <c r="H42" s="33">
        <f>F42-G42</f>
        <v>1.75</v>
      </c>
      <c r="I42" s="36">
        <v>3.0</v>
      </c>
      <c r="J42" s="19">
        <v>3.0</v>
      </c>
      <c r="K42" s="20">
        <v>5.0</v>
      </c>
      <c r="L42" s="21">
        <f>sum(O43:Q43)</f>
        <v>40</v>
      </c>
      <c r="M42" s="34">
        <f>L42-H42</f>
        <v>38.25</v>
      </c>
      <c r="N42" s="22">
        <f>(G42+H42)/sum(G42,O43,P43,Q43,R43,S43,T43,U43,V43,W43)</f>
        <v>0.6466512702</v>
      </c>
      <c r="O42" s="23" t="s">
        <v>34</v>
      </c>
      <c r="P42" s="23" t="s">
        <v>78</v>
      </c>
      <c r="Q42" s="23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>
      <c r="A43" s="25"/>
      <c r="B43" s="35"/>
      <c r="C43" s="14"/>
      <c r="D43" s="15"/>
      <c r="E43" s="16"/>
      <c r="F43" s="14"/>
      <c r="G43" s="17"/>
      <c r="H43" s="26"/>
      <c r="I43" s="36"/>
      <c r="J43" s="19"/>
      <c r="K43" s="20"/>
      <c r="L43" s="21"/>
      <c r="M43" s="21"/>
      <c r="N43" s="22"/>
      <c r="O43" s="31">
        <v>40.0</v>
      </c>
      <c r="P43" s="31">
        <v>0.0</v>
      </c>
      <c r="Q43" s="23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>
      <c r="A44" s="25">
        <v>22.0</v>
      </c>
      <c r="B44" s="13" t="s">
        <v>79</v>
      </c>
      <c r="C44" s="14">
        <v>511.0</v>
      </c>
      <c r="D44" s="15">
        <v>125.0</v>
      </c>
      <c r="E44" s="38">
        <v>120.0</v>
      </c>
      <c r="F44" s="14">
        <f>C44-D44-E44</f>
        <v>266</v>
      </c>
      <c r="G44" s="32">
        <v>69.0</v>
      </c>
      <c r="H44" s="33">
        <f>F44-G44</f>
        <v>197</v>
      </c>
      <c r="I44" s="18">
        <v>5.0</v>
      </c>
      <c r="J44" s="19">
        <v>6.0</v>
      </c>
      <c r="K44" s="20">
        <v>6.0</v>
      </c>
      <c r="L44" s="28">
        <f>sum(O45:R45)</f>
        <v>195</v>
      </c>
      <c r="M44" s="34">
        <f>L44-H44</f>
        <v>-2</v>
      </c>
      <c r="N44" s="22">
        <f>(G44+H44)/sum(G44,O45,P45,Q45,R45,S45,T45,U45,V45,W45)</f>
        <v>1.007575758</v>
      </c>
      <c r="O44" s="23" t="s">
        <v>63</v>
      </c>
      <c r="P44" s="23" t="s">
        <v>41</v>
      </c>
      <c r="Q44" s="23" t="s">
        <v>19</v>
      </c>
      <c r="R44" s="39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>
      <c r="A45" s="25"/>
      <c r="B45" s="13"/>
      <c r="C45" s="14"/>
      <c r="D45" s="25"/>
      <c r="E45" s="26"/>
      <c r="F45" s="27"/>
      <c r="G45" s="17"/>
      <c r="H45" s="26"/>
      <c r="I45" s="18"/>
      <c r="J45" s="28"/>
      <c r="K45" s="29"/>
      <c r="L45" s="28"/>
      <c r="M45" s="28"/>
      <c r="N45" s="30"/>
      <c r="O45" s="31">
        <v>65.0</v>
      </c>
      <c r="P45" s="31">
        <v>65.0</v>
      </c>
      <c r="Q45" s="31">
        <v>65.0</v>
      </c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hidden="1">
      <c r="A46" s="25"/>
      <c r="B46" s="13"/>
      <c r="C46" s="14"/>
      <c r="D46" s="25"/>
      <c r="E46" s="26"/>
      <c r="F46" s="27"/>
      <c r="G46" s="17"/>
      <c r="H46" s="26"/>
      <c r="I46" s="18"/>
      <c r="J46" s="28"/>
      <c r="K46" s="29"/>
      <c r="L46" s="28"/>
      <c r="M46" s="28"/>
      <c r="N46" s="30"/>
      <c r="O46" s="31">
        <v>50.0</v>
      </c>
      <c r="P46" s="31">
        <v>50.0</v>
      </c>
      <c r="Q46" s="31">
        <v>75.0</v>
      </c>
      <c r="R46" s="31">
        <v>50.0</v>
      </c>
      <c r="S46" s="31">
        <v>50.0</v>
      </c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hidden="1">
      <c r="A47" s="25"/>
      <c r="B47" s="13"/>
      <c r="C47" s="14"/>
      <c r="D47" s="25"/>
      <c r="E47" s="26"/>
      <c r="F47" s="27"/>
      <c r="G47" s="17"/>
      <c r="H47" s="26"/>
      <c r="I47" s="18"/>
      <c r="J47" s="28"/>
      <c r="K47" s="29"/>
      <c r="L47" s="28"/>
      <c r="M47" s="28"/>
      <c r="N47" s="30"/>
      <c r="O47" s="31">
        <v>40.0</v>
      </c>
      <c r="P47" s="31">
        <v>0.0</v>
      </c>
      <c r="Q47" s="31">
        <v>0.0</v>
      </c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hidden="1">
      <c r="A48" s="25"/>
      <c r="B48" s="13"/>
      <c r="C48" s="14"/>
      <c r="D48" s="25"/>
      <c r="E48" s="26"/>
      <c r="F48" s="27"/>
      <c r="G48" s="17"/>
      <c r="H48" s="26"/>
      <c r="I48" s="18"/>
      <c r="J48" s="28"/>
      <c r="K48" s="29"/>
      <c r="L48" s="28"/>
      <c r="M48" s="28"/>
      <c r="N48" s="30"/>
      <c r="O48" s="31">
        <v>40.0</v>
      </c>
      <c r="P48" s="31">
        <v>40.0</v>
      </c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hidden="1">
      <c r="A49" s="25"/>
      <c r="B49" s="13"/>
      <c r="C49" s="14"/>
      <c r="D49" s="25"/>
      <c r="E49" s="26"/>
      <c r="F49" s="27"/>
      <c r="G49" s="17"/>
      <c r="H49" s="26"/>
      <c r="I49" s="18"/>
      <c r="J49" s="28"/>
      <c r="K49" s="29"/>
      <c r="L49" s="28"/>
      <c r="M49" s="28"/>
      <c r="N49" s="30"/>
      <c r="O49" s="31">
        <v>60.0</v>
      </c>
      <c r="P49" s="31">
        <v>0.0</v>
      </c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hidden="1">
      <c r="A50" s="25"/>
      <c r="B50" s="13"/>
      <c r="C50" s="14"/>
      <c r="D50" s="25"/>
      <c r="E50" s="16"/>
      <c r="F50" s="27"/>
      <c r="G50" s="17"/>
      <c r="H50" s="26"/>
      <c r="I50" s="18"/>
      <c r="J50" s="28"/>
      <c r="K50" s="29"/>
      <c r="L50" s="28"/>
      <c r="M50" s="28"/>
      <c r="N50" s="28"/>
      <c r="O50" s="31">
        <v>40.0</v>
      </c>
      <c r="P50" s="31">
        <v>40.0</v>
      </c>
      <c r="Q50" s="31">
        <v>0.0</v>
      </c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hidden="1">
      <c r="A51" s="25"/>
      <c r="B51" s="13"/>
      <c r="C51" s="14"/>
      <c r="D51" s="25"/>
      <c r="E51" s="26"/>
      <c r="F51" s="27"/>
      <c r="G51" s="17"/>
      <c r="H51" s="26"/>
      <c r="I51" s="18"/>
      <c r="J51" s="28"/>
      <c r="K51" s="29"/>
      <c r="L51" s="28"/>
      <c r="M51" s="28"/>
      <c r="N51" s="28"/>
      <c r="O51" s="31">
        <v>0.0</v>
      </c>
      <c r="P51" s="31">
        <v>40.0</v>
      </c>
      <c r="Q51" s="31">
        <v>40.0</v>
      </c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hidden="1">
      <c r="A52" s="25"/>
      <c r="B52" s="13"/>
      <c r="C52" s="14"/>
      <c r="D52" s="25"/>
      <c r="E52" s="26"/>
      <c r="F52" s="27"/>
      <c r="G52" s="17"/>
      <c r="H52" s="26"/>
      <c r="I52" s="18"/>
      <c r="J52" s="28"/>
      <c r="K52" s="29"/>
      <c r="L52" s="28"/>
      <c r="M52" s="28"/>
      <c r="N52" s="28"/>
      <c r="O52" s="31">
        <v>45.0</v>
      </c>
      <c r="P52" s="31">
        <v>45.0</v>
      </c>
      <c r="Q52" s="31">
        <v>0.0</v>
      </c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hidden="1">
      <c r="A53" s="25">
        <v>25.0</v>
      </c>
      <c r="B53" s="13" t="s">
        <v>80</v>
      </c>
      <c r="C53" s="14">
        <v>1014.0</v>
      </c>
      <c r="D53" s="15">
        <v>125.0</v>
      </c>
      <c r="E53" s="16">
        <v>0.0</v>
      </c>
      <c r="F53" s="14">
        <f>C53-D53-E53</f>
        <v>889</v>
      </c>
      <c r="G53" s="17">
        <f>C53*0.35</f>
        <v>354.9</v>
      </c>
      <c r="H53" s="33">
        <f>F53-G53</f>
        <v>534.1</v>
      </c>
      <c r="I53" s="36">
        <v>18.0</v>
      </c>
      <c r="J53" s="19"/>
      <c r="K53" s="20"/>
      <c r="L53" s="19"/>
      <c r="M53" s="19"/>
      <c r="N53" s="19"/>
      <c r="O53" s="23" t="s">
        <v>81</v>
      </c>
      <c r="P53" s="24" t="s">
        <v>82</v>
      </c>
      <c r="Q53" s="23" t="s">
        <v>83</v>
      </c>
      <c r="R53" s="23" t="s">
        <v>84</v>
      </c>
      <c r="S53" s="23" t="s">
        <v>85</v>
      </c>
      <c r="T53" s="23" t="s">
        <v>86</v>
      </c>
      <c r="U53" s="23" t="s">
        <v>87</v>
      </c>
      <c r="V53" s="23" t="s">
        <v>88</v>
      </c>
      <c r="W53" s="23" t="s">
        <v>89</v>
      </c>
      <c r="X53" s="23" t="s">
        <v>90</v>
      </c>
      <c r="Y53" s="23" t="s">
        <v>91</v>
      </c>
      <c r="Z53" s="23" t="s">
        <v>92</v>
      </c>
      <c r="AA53" s="23" t="s">
        <v>93</v>
      </c>
      <c r="AB53" s="23" t="s">
        <v>94</v>
      </c>
      <c r="AC53" s="23" t="s">
        <v>95</v>
      </c>
      <c r="AD53" s="23" t="s">
        <v>96</v>
      </c>
      <c r="AE53" s="23" t="s">
        <v>97</v>
      </c>
      <c r="AF53" s="23" t="s">
        <v>98</v>
      </c>
    </row>
    <row r="54" hidden="1">
      <c r="A54" s="25"/>
      <c r="B54" s="13"/>
      <c r="C54" s="14"/>
      <c r="D54" s="25"/>
      <c r="E54" s="26"/>
      <c r="F54" s="27"/>
      <c r="G54" s="17"/>
      <c r="H54" s="26"/>
      <c r="I54" s="18"/>
      <c r="J54" s="28"/>
      <c r="K54" s="29"/>
      <c r="L54" s="28"/>
      <c r="M54" s="28"/>
      <c r="N54" s="28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31">
        <v>25.0</v>
      </c>
      <c r="AD54" s="84"/>
      <c r="AE54" s="84"/>
      <c r="AF54" s="84"/>
    </row>
    <row r="55" hidden="1">
      <c r="A55" s="25"/>
      <c r="B55" s="13"/>
      <c r="C55" s="14"/>
      <c r="D55" s="25"/>
      <c r="E55" s="26"/>
      <c r="F55" s="27"/>
      <c r="G55" s="17"/>
      <c r="H55" s="26"/>
      <c r="I55" s="18"/>
      <c r="J55" s="28"/>
      <c r="K55" s="29"/>
      <c r="L55" s="28"/>
      <c r="M55" s="28"/>
      <c r="N55" s="28"/>
      <c r="O55" s="31">
        <v>40.0</v>
      </c>
      <c r="P55" s="31">
        <v>40.0</v>
      </c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hidden="1">
      <c r="A56" s="25"/>
      <c r="B56" s="13"/>
      <c r="C56" s="14"/>
      <c r="D56" s="25"/>
      <c r="E56" s="26"/>
      <c r="F56" s="27"/>
      <c r="G56" s="17"/>
      <c r="H56" s="26"/>
      <c r="I56" s="18"/>
      <c r="J56" s="28"/>
      <c r="K56" s="29"/>
      <c r="L56" s="28"/>
      <c r="M56" s="28"/>
      <c r="N56" s="28"/>
      <c r="O56" s="31">
        <v>40.0</v>
      </c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hidden="1">
      <c r="A57" s="25"/>
      <c r="B57" s="13"/>
      <c r="C57" s="14"/>
      <c r="D57" s="25"/>
      <c r="E57" s="26"/>
      <c r="F57" s="27"/>
      <c r="G57" s="17"/>
      <c r="H57" s="26"/>
      <c r="I57" s="18"/>
      <c r="J57" s="28"/>
      <c r="K57" s="29"/>
      <c r="L57" s="28"/>
      <c r="M57" s="28"/>
      <c r="N57" s="28"/>
      <c r="O57" s="31">
        <v>80.0</v>
      </c>
      <c r="P57" s="31">
        <v>40.0</v>
      </c>
      <c r="Q57" s="31">
        <v>40.0</v>
      </c>
      <c r="R57" s="31">
        <v>40.0</v>
      </c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hidden="1">
      <c r="A58" s="25"/>
      <c r="B58" s="13"/>
      <c r="C58" s="14"/>
      <c r="D58" s="25"/>
      <c r="E58" s="26"/>
      <c r="F58" s="27"/>
      <c r="G58" s="17"/>
      <c r="H58" s="26"/>
      <c r="I58" s="18"/>
      <c r="J58" s="28"/>
      <c r="K58" s="29"/>
      <c r="L58" s="28"/>
      <c r="M58" s="28"/>
      <c r="N58" s="28"/>
      <c r="O58" s="31">
        <v>40.0</v>
      </c>
      <c r="P58" s="31">
        <v>40.0</v>
      </c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hidden="1">
      <c r="A59" s="25"/>
      <c r="B59" s="13"/>
      <c r="C59" s="14"/>
      <c r="D59" s="25"/>
      <c r="E59" s="26"/>
      <c r="F59" s="27"/>
      <c r="G59" s="17"/>
      <c r="H59" s="26"/>
      <c r="I59" s="18"/>
      <c r="J59" s="28"/>
      <c r="K59" s="29"/>
      <c r="L59" s="28"/>
      <c r="M59" s="28"/>
      <c r="N59" s="28"/>
      <c r="O59" s="31">
        <v>40.0</v>
      </c>
      <c r="P59" s="31">
        <v>40.0</v>
      </c>
      <c r="Q59" s="31">
        <v>0.0</v>
      </c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hidden="1">
      <c r="A60" s="25"/>
      <c r="B60" s="13"/>
      <c r="C60" s="14"/>
      <c r="D60" s="25"/>
      <c r="E60" s="26"/>
      <c r="F60" s="27"/>
      <c r="G60" s="17"/>
      <c r="H60" s="26"/>
      <c r="I60" s="18"/>
      <c r="J60" s="28"/>
      <c r="K60" s="29"/>
      <c r="L60" s="28"/>
      <c r="M60" s="28"/>
      <c r="N60" s="28"/>
      <c r="O60" s="31">
        <v>80.0</v>
      </c>
      <c r="P60" s="31">
        <v>80.0</v>
      </c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hidden="1">
      <c r="A61" s="25"/>
      <c r="B61" s="13"/>
      <c r="C61" s="14"/>
      <c r="D61" s="25"/>
      <c r="E61" s="26"/>
      <c r="F61" s="27"/>
      <c r="G61" s="17"/>
      <c r="H61" s="26"/>
      <c r="I61" s="18"/>
      <c r="J61" s="28"/>
      <c r="K61" s="29"/>
      <c r="L61" s="28"/>
      <c r="M61" s="28"/>
      <c r="N61" s="28"/>
      <c r="O61" s="31">
        <v>60.0</v>
      </c>
      <c r="P61" s="31">
        <v>60.0</v>
      </c>
      <c r="Q61" s="31">
        <v>40.0</v>
      </c>
      <c r="R61" s="31">
        <v>60.0</v>
      </c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hidden="1">
      <c r="A62" s="25"/>
      <c r="B62" s="13"/>
      <c r="C62" s="14"/>
      <c r="D62" s="25"/>
      <c r="E62" s="26"/>
      <c r="F62" s="27"/>
      <c r="G62" s="17"/>
      <c r="H62" s="26"/>
      <c r="I62" s="18"/>
      <c r="J62" s="28"/>
      <c r="K62" s="29"/>
      <c r="L62" s="28"/>
      <c r="M62" s="28"/>
      <c r="N62" s="28"/>
      <c r="O62" s="31">
        <v>50.0</v>
      </c>
      <c r="P62" s="31">
        <v>50.0</v>
      </c>
      <c r="Q62" s="31">
        <v>50.0</v>
      </c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hidden="1">
      <c r="A63" s="25"/>
      <c r="B63" s="13"/>
      <c r="C63" s="14"/>
      <c r="D63" s="25"/>
      <c r="E63" s="26"/>
      <c r="F63" s="27"/>
      <c r="G63" s="17"/>
      <c r="H63" s="26"/>
      <c r="I63" s="18"/>
      <c r="J63" s="28"/>
      <c r="K63" s="29"/>
      <c r="L63" s="28"/>
      <c r="M63" s="28"/>
      <c r="N63" s="28"/>
      <c r="O63" s="31">
        <v>50.0</v>
      </c>
      <c r="P63" s="31">
        <v>40.0</v>
      </c>
      <c r="Q63" s="31">
        <v>50.0</v>
      </c>
      <c r="R63" s="31">
        <v>50.0</v>
      </c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hidden="1">
      <c r="A64" s="25"/>
      <c r="B64" s="13"/>
      <c r="C64" s="14"/>
      <c r="D64" s="25"/>
      <c r="E64" s="26"/>
      <c r="F64" s="27"/>
      <c r="G64" s="17"/>
      <c r="H64" s="26"/>
      <c r="I64" s="18"/>
      <c r="J64" s="28"/>
      <c r="K64" s="29"/>
      <c r="L64" s="28"/>
      <c r="M64" s="28"/>
      <c r="N64" s="28"/>
      <c r="O64" s="31">
        <v>50.0</v>
      </c>
      <c r="P64" s="31">
        <v>200.0</v>
      </c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hidden="1">
      <c r="A65" s="25"/>
      <c r="B65" s="13"/>
      <c r="C65" s="14"/>
      <c r="D65" s="25"/>
      <c r="E65" s="26"/>
      <c r="F65" s="27"/>
      <c r="G65" s="17"/>
      <c r="H65" s="26"/>
      <c r="I65" s="18"/>
      <c r="J65" s="28"/>
      <c r="K65" s="29"/>
      <c r="L65" s="28"/>
      <c r="M65" s="28"/>
      <c r="N65" s="28"/>
      <c r="O65" s="31">
        <v>0.0</v>
      </c>
      <c r="P65" s="31">
        <v>80.0</v>
      </c>
      <c r="Q65" s="31">
        <v>60.0</v>
      </c>
      <c r="R65" s="31">
        <v>50.0</v>
      </c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hidden="1">
      <c r="A66" s="25"/>
      <c r="B66" s="13"/>
      <c r="C66" s="85"/>
      <c r="D66" s="86"/>
      <c r="E66" s="87"/>
      <c r="F66" s="88"/>
      <c r="G66" s="89"/>
      <c r="H66" s="87"/>
      <c r="I66" s="90"/>
      <c r="J66" s="84"/>
      <c r="K66" s="29"/>
      <c r="L66" s="28"/>
      <c r="M66" s="28"/>
      <c r="N66" s="28"/>
      <c r="O66" s="31">
        <v>40.0</v>
      </c>
      <c r="P66" s="31">
        <v>0.0</v>
      </c>
      <c r="Q66" s="31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hidden="1">
      <c r="A67" s="84"/>
      <c r="B67" s="91"/>
      <c r="C67" s="92"/>
      <c r="D67" s="93"/>
      <c r="E67" s="94"/>
      <c r="F67" s="92"/>
      <c r="G67" s="95"/>
      <c r="H67" s="96"/>
      <c r="I67" s="97"/>
      <c r="J67" s="98"/>
      <c r="K67" s="99"/>
      <c r="L67" s="100"/>
      <c r="M67" s="100"/>
      <c r="N67" s="100"/>
      <c r="O67" s="31">
        <v>40.0</v>
      </c>
      <c r="P67" s="31">
        <v>40.0</v>
      </c>
      <c r="Q67" s="31">
        <v>40.0</v>
      </c>
      <c r="R67" s="39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</sheetData>
  <mergeCells count="2">
    <mergeCell ref="C1:E1"/>
    <mergeCell ref="F1:H1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7.38"/>
    <col customWidth="1" hidden="1" min="3" max="3" width="15.63"/>
    <col customWidth="1" hidden="1" min="4" max="4" width="12.13"/>
    <col customWidth="1" min="5" max="5" width="15.63"/>
    <col customWidth="1" min="6" max="9" width="14.75"/>
    <col customWidth="1" min="10" max="11" width="13.5"/>
    <col customWidth="1" min="22" max="22" width="2.38"/>
    <col customWidth="1" hidden="1" min="23" max="23" width="21.88"/>
    <col customWidth="1" hidden="1" min="24" max="24" width="27.38"/>
  </cols>
  <sheetData>
    <row r="1">
      <c r="A1" s="101">
        <v>138.0</v>
      </c>
      <c r="B1" s="102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4"/>
      <c r="W1" s="104"/>
      <c r="X1" s="105"/>
    </row>
    <row r="2">
      <c r="A2" s="106" t="s">
        <v>99</v>
      </c>
      <c r="B2" s="107" t="s">
        <v>100</v>
      </c>
      <c r="C2" s="108"/>
      <c r="D2" s="108"/>
      <c r="E2" s="108" t="s">
        <v>101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10"/>
      <c r="V2" s="111"/>
      <c r="W2" s="112" t="s">
        <v>102</v>
      </c>
      <c r="X2" s="113" t="s">
        <v>102</v>
      </c>
    </row>
    <row r="3">
      <c r="B3" s="114" t="s">
        <v>103</v>
      </c>
      <c r="C3" s="115" t="s">
        <v>104</v>
      </c>
      <c r="D3" s="115" t="s">
        <v>105</v>
      </c>
      <c r="E3" s="116" t="s">
        <v>106</v>
      </c>
      <c r="F3" s="116" t="s">
        <v>107</v>
      </c>
      <c r="G3" s="116" t="s">
        <v>108</v>
      </c>
      <c r="H3" s="116" t="s">
        <v>109</v>
      </c>
      <c r="I3" s="116" t="s">
        <v>110</v>
      </c>
      <c r="J3" s="116" t="s">
        <v>111</v>
      </c>
      <c r="K3" s="116" t="s">
        <v>91</v>
      </c>
      <c r="L3" s="116" t="s">
        <v>112</v>
      </c>
      <c r="M3" s="116" t="s">
        <v>113</v>
      </c>
      <c r="N3" s="116" t="s">
        <v>114</v>
      </c>
      <c r="O3" s="116" t="s">
        <v>115</v>
      </c>
      <c r="P3" s="116" t="s">
        <v>116</v>
      </c>
      <c r="Q3" s="116" t="s">
        <v>117</v>
      </c>
      <c r="R3" s="116" t="s">
        <v>118</v>
      </c>
      <c r="S3" s="116" t="s">
        <v>119</v>
      </c>
      <c r="T3" s="116" t="s">
        <v>120</v>
      </c>
      <c r="U3" s="117" t="s">
        <v>121</v>
      </c>
      <c r="V3" s="118"/>
      <c r="W3" s="119" t="s">
        <v>122</v>
      </c>
      <c r="X3" s="120" t="s">
        <v>122</v>
      </c>
    </row>
    <row r="4" ht="15.75" customHeight="1">
      <c r="B4" s="121" t="s">
        <v>123</v>
      </c>
      <c r="C4" s="122">
        <v>160.0</v>
      </c>
      <c r="D4" s="123">
        <v>0.15</v>
      </c>
      <c r="E4" s="124">
        <v>5.0</v>
      </c>
      <c r="F4" s="124">
        <v>9.0</v>
      </c>
      <c r="G4" s="124">
        <v>5.0</v>
      </c>
      <c r="H4" s="124">
        <v>5.0</v>
      </c>
      <c r="I4" s="124">
        <v>5.0</v>
      </c>
      <c r="J4" s="124">
        <v>5.0</v>
      </c>
      <c r="K4" s="124">
        <v>5.0</v>
      </c>
      <c r="L4" s="124">
        <v>9.0</v>
      </c>
      <c r="M4" s="124">
        <v>11.0</v>
      </c>
      <c r="N4" s="124">
        <v>11.0</v>
      </c>
      <c r="O4" s="124">
        <v>9.0</v>
      </c>
      <c r="P4" s="124">
        <v>9.0</v>
      </c>
      <c r="Q4" s="124">
        <v>5.0</v>
      </c>
      <c r="R4" s="124">
        <v>9.0</v>
      </c>
      <c r="S4" s="124">
        <v>18.0</v>
      </c>
      <c r="T4" s="124">
        <v>11.0</v>
      </c>
      <c r="U4" s="125">
        <f t="shared" ref="U4:U8" si="1">sum(E4:T4)</f>
        <v>131</v>
      </c>
      <c r="V4" s="126"/>
      <c r="W4" s="127" t="s">
        <v>124</v>
      </c>
      <c r="X4" s="128" t="s">
        <v>124</v>
      </c>
    </row>
    <row r="5">
      <c r="B5" s="121" t="s">
        <v>125</v>
      </c>
      <c r="C5" s="122">
        <v>120.0</v>
      </c>
      <c r="D5" s="123">
        <v>0.17</v>
      </c>
      <c r="E5" s="124">
        <v>5.0</v>
      </c>
      <c r="F5" s="124">
        <v>10.0</v>
      </c>
      <c r="G5" s="124">
        <v>5.0</v>
      </c>
      <c r="H5" s="124">
        <v>5.0</v>
      </c>
      <c r="I5" s="124">
        <v>5.0</v>
      </c>
      <c r="J5" s="124">
        <v>5.0</v>
      </c>
      <c r="K5" s="124">
        <v>5.0</v>
      </c>
      <c r="L5" s="124">
        <v>10.0</v>
      </c>
      <c r="M5" s="124">
        <v>12.0</v>
      </c>
      <c r="N5" s="124">
        <v>12.0</v>
      </c>
      <c r="O5" s="124">
        <v>10.0</v>
      </c>
      <c r="P5" s="124">
        <v>10.0</v>
      </c>
      <c r="Q5" s="124">
        <v>5.0</v>
      </c>
      <c r="R5" s="124">
        <v>10.0</v>
      </c>
      <c r="S5" s="124">
        <v>20.0</v>
      </c>
      <c r="T5" s="124">
        <v>12.0</v>
      </c>
      <c r="U5" s="125">
        <f t="shared" si="1"/>
        <v>141</v>
      </c>
      <c r="V5" s="104"/>
      <c r="W5" s="104"/>
    </row>
    <row r="6">
      <c r="B6" s="121" t="s">
        <v>126</v>
      </c>
      <c r="C6" s="122">
        <v>120.0</v>
      </c>
      <c r="D6" s="123">
        <v>0.18</v>
      </c>
      <c r="E6" s="124">
        <v>5.0</v>
      </c>
      <c r="F6" s="124">
        <v>11.0</v>
      </c>
      <c r="G6" s="124">
        <v>5.0</v>
      </c>
      <c r="H6" s="124">
        <v>5.0</v>
      </c>
      <c r="I6" s="124">
        <v>5.0</v>
      </c>
      <c r="J6" s="124">
        <v>5.0</v>
      </c>
      <c r="K6" s="124">
        <v>5.0</v>
      </c>
      <c r="L6" s="124">
        <v>11.0</v>
      </c>
      <c r="M6" s="124">
        <v>13.0</v>
      </c>
      <c r="N6" s="124">
        <v>13.0</v>
      </c>
      <c r="O6" s="124">
        <v>11.0</v>
      </c>
      <c r="P6" s="124">
        <v>11.0</v>
      </c>
      <c r="Q6" s="124">
        <v>5.0</v>
      </c>
      <c r="R6" s="124">
        <v>11.0</v>
      </c>
      <c r="S6" s="124">
        <v>21.0</v>
      </c>
      <c r="T6" s="124">
        <v>13.0</v>
      </c>
      <c r="U6" s="125">
        <f t="shared" si="1"/>
        <v>150</v>
      </c>
      <c r="V6" s="104"/>
      <c r="W6" s="129"/>
    </row>
    <row r="7">
      <c r="B7" s="121" t="s">
        <v>127</v>
      </c>
      <c r="C7" s="122">
        <v>160.0</v>
      </c>
      <c r="D7" s="123">
        <v>0.2</v>
      </c>
      <c r="E7" s="124">
        <v>4.0</v>
      </c>
      <c r="F7" s="124">
        <v>8.0</v>
      </c>
      <c r="G7" s="124">
        <v>4.0</v>
      </c>
      <c r="H7" s="124">
        <v>4.0</v>
      </c>
      <c r="I7" s="124">
        <v>4.0</v>
      </c>
      <c r="J7" s="124">
        <v>4.0</v>
      </c>
      <c r="K7" s="124">
        <v>4.0</v>
      </c>
      <c r="L7" s="124">
        <v>8.0</v>
      </c>
      <c r="M7" s="124">
        <v>9.0</v>
      </c>
      <c r="N7" s="124">
        <v>9.0</v>
      </c>
      <c r="O7" s="124">
        <v>8.0</v>
      </c>
      <c r="P7" s="124">
        <v>8.0</v>
      </c>
      <c r="Q7" s="124">
        <v>4.0</v>
      </c>
      <c r="R7" s="124">
        <v>8.0</v>
      </c>
      <c r="S7" s="124">
        <v>16.0</v>
      </c>
      <c r="T7" s="124">
        <v>9.0</v>
      </c>
      <c r="U7" s="125">
        <f t="shared" si="1"/>
        <v>111</v>
      </c>
      <c r="V7" s="104"/>
    </row>
    <row r="8">
      <c r="B8" s="121" t="s">
        <v>128</v>
      </c>
      <c r="C8" s="122">
        <v>240.0</v>
      </c>
      <c r="D8" s="123">
        <v>0.3</v>
      </c>
      <c r="E8" s="124">
        <v>6.0</v>
      </c>
      <c r="F8" s="124">
        <v>12.0</v>
      </c>
      <c r="G8" s="124">
        <v>6.0</v>
      </c>
      <c r="H8" s="124">
        <v>6.0</v>
      </c>
      <c r="I8" s="124">
        <v>6.0</v>
      </c>
      <c r="J8" s="124">
        <v>6.0</v>
      </c>
      <c r="K8" s="124">
        <v>6.0</v>
      </c>
      <c r="L8" s="124">
        <v>12.0</v>
      </c>
      <c r="M8" s="124">
        <v>15.0</v>
      </c>
      <c r="N8" s="124">
        <v>15.0</v>
      </c>
      <c r="O8" s="124">
        <v>12.0</v>
      </c>
      <c r="P8" s="124">
        <v>12.0</v>
      </c>
      <c r="Q8" s="124">
        <v>6.0</v>
      </c>
      <c r="R8" s="124">
        <v>12.0</v>
      </c>
      <c r="S8" s="124">
        <v>25.0</v>
      </c>
      <c r="T8" s="124">
        <v>15.0</v>
      </c>
      <c r="U8" s="125">
        <f t="shared" si="1"/>
        <v>172</v>
      </c>
      <c r="V8" s="104"/>
    </row>
    <row r="9">
      <c r="B9" s="130" t="s">
        <v>129</v>
      </c>
      <c r="C9" s="131">
        <f>sum(C4:C8)</f>
        <v>800</v>
      </c>
      <c r="D9" s="132">
        <f>SUM(D4:D8)</f>
        <v>1</v>
      </c>
      <c r="E9" s="133">
        <f t="shared" ref="E9:U9" si="2">sum(E4:E8)</f>
        <v>25</v>
      </c>
      <c r="F9" s="133">
        <f t="shared" si="2"/>
        <v>50</v>
      </c>
      <c r="G9" s="133">
        <f t="shared" si="2"/>
        <v>25</v>
      </c>
      <c r="H9" s="133">
        <f t="shared" si="2"/>
        <v>25</v>
      </c>
      <c r="I9" s="133">
        <f t="shared" si="2"/>
        <v>25</v>
      </c>
      <c r="J9" s="133">
        <f t="shared" si="2"/>
        <v>25</v>
      </c>
      <c r="K9" s="133">
        <f t="shared" si="2"/>
        <v>25</v>
      </c>
      <c r="L9" s="133">
        <f t="shared" si="2"/>
        <v>50</v>
      </c>
      <c r="M9" s="133">
        <f t="shared" si="2"/>
        <v>60</v>
      </c>
      <c r="N9" s="133">
        <f t="shared" si="2"/>
        <v>60</v>
      </c>
      <c r="O9" s="133">
        <f t="shared" si="2"/>
        <v>50</v>
      </c>
      <c r="P9" s="133">
        <f t="shared" si="2"/>
        <v>50</v>
      </c>
      <c r="Q9" s="133">
        <f t="shared" si="2"/>
        <v>25</v>
      </c>
      <c r="R9" s="133">
        <f t="shared" si="2"/>
        <v>50</v>
      </c>
      <c r="S9" s="133">
        <f t="shared" si="2"/>
        <v>100</v>
      </c>
      <c r="T9" s="133">
        <f t="shared" si="2"/>
        <v>60</v>
      </c>
      <c r="U9" s="133">
        <f t="shared" si="2"/>
        <v>705</v>
      </c>
      <c r="V9" s="104"/>
    </row>
    <row r="10" hidden="1">
      <c r="A10" s="106"/>
      <c r="B10" s="121" t="s">
        <v>130</v>
      </c>
      <c r="C10" s="131"/>
      <c r="D10" s="131"/>
      <c r="E10" s="131">
        <v>80.0</v>
      </c>
      <c r="F10" s="131">
        <v>240.0</v>
      </c>
      <c r="G10" s="131"/>
      <c r="H10" s="131"/>
      <c r="I10" s="131"/>
      <c r="J10" s="131">
        <v>144.0</v>
      </c>
      <c r="K10" s="131"/>
      <c r="L10" s="131">
        <v>72.0</v>
      </c>
      <c r="M10" s="131">
        <v>48.0</v>
      </c>
      <c r="N10" s="131">
        <v>144.0</v>
      </c>
      <c r="O10" s="131">
        <v>192.0</v>
      </c>
      <c r="P10" s="131"/>
      <c r="Q10" s="131"/>
      <c r="R10" s="131"/>
      <c r="S10" s="131">
        <v>120.0</v>
      </c>
      <c r="T10" s="131">
        <v>48.0</v>
      </c>
      <c r="U10" s="131"/>
      <c r="V10" s="104"/>
    </row>
    <row r="11">
      <c r="A11" s="134"/>
      <c r="B11" s="135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4"/>
    </row>
    <row r="12" ht="15.0" customHeight="1">
      <c r="A12" s="106" t="s">
        <v>131</v>
      </c>
      <c r="B12" s="136" t="s">
        <v>100</v>
      </c>
      <c r="C12" s="137"/>
      <c r="D12" s="137"/>
      <c r="E12" s="108" t="s">
        <v>101</v>
      </c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10"/>
      <c r="V12" s="104"/>
    </row>
    <row r="13" ht="77.25" customHeight="1">
      <c r="B13" s="114" t="s">
        <v>103</v>
      </c>
      <c r="C13" s="116" t="s">
        <v>104</v>
      </c>
      <c r="D13" s="116" t="s">
        <v>105</v>
      </c>
      <c r="E13" s="116" t="s">
        <v>106</v>
      </c>
      <c r="F13" s="116" t="s">
        <v>107</v>
      </c>
      <c r="G13" s="116" t="s">
        <v>108</v>
      </c>
      <c r="H13" s="116" t="s">
        <v>109</v>
      </c>
      <c r="I13" s="116" t="s">
        <v>110</v>
      </c>
      <c r="J13" s="116" t="s">
        <v>111</v>
      </c>
      <c r="K13" s="116" t="s">
        <v>91</v>
      </c>
      <c r="L13" s="116" t="s">
        <v>112</v>
      </c>
      <c r="M13" s="116" t="s">
        <v>113</v>
      </c>
      <c r="N13" s="116" t="s">
        <v>114</v>
      </c>
      <c r="O13" s="116" t="s">
        <v>115</v>
      </c>
      <c r="P13" s="116" t="s">
        <v>116</v>
      </c>
      <c r="Q13" s="116" t="s">
        <v>117</v>
      </c>
      <c r="R13" s="116" t="s">
        <v>118</v>
      </c>
      <c r="S13" s="116" t="s">
        <v>119</v>
      </c>
      <c r="T13" s="116" t="s">
        <v>120</v>
      </c>
      <c r="U13" s="117" t="s">
        <v>121</v>
      </c>
      <c r="V13" s="104"/>
    </row>
    <row r="14">
      <c r="B14" s="130" t="s">
        <v>15</v>
      </c>
      <c r="C14" s="138">
        <v>95.0</v>
      </c>
      <c r="D14" s="139">
        <v>0.0898</v>
      </c>
      <c r="E14" s="140">
        <v>4.0</v>
      </c>
      <c r="F14" s="140">
        <v>9.0</v>
      </c>
      <c r="G14" s="140">
        <v>8.0</v>
      </c>
      <c r="H14" s="140">
        <v>9.0</v>
      </c>
      <c r="I14" s="140">
        <v>8.0</v>
      </c>
      <c r="J14" s="140">
        <v>8.0</v>
      </c>
      <c r="K14" s="140">
        <v>2.0</v>
      </c>
      <c r="L14" s="140">
        <v>4.0</v>
      </c>
      <c r="M14" s="140">
        <v>13.0</v>
      </c>
      <c r="N14" s="140">
        <v>11.0</v>
      </c>
      <c r="O14" s="140">
        <v>8.0</v>
      </c>
      <c r="P14" s="140">
        <v>8.0</v>
      </c>
      <c r="Q14" s="140">
        <v>4.0</v>
      </c>
      <c r="R14" s="140">
        <v>8.0</v>
      </c>
      <c r="S14" s="140">
        <v>4.0</v>
      </c>
      <c r="T14" s="141">
        <v>9.0</v>
      </c>
      <c r="U14" s="138">
        <f t="shared" ref="U14:U23" si="3">sum(E14:T14)</f>
        <v>117</v>
      </c>
      <c r="V14" s="104"/>
    </row>
    <row r="15">
      <c r="B15" s="130" t="s">
        <v>24</v>
      </c>
      <c r="C15" s="138">
        <v>105.0</v>
      </c>
      <c r="D15" s="139">
        <v>0.066</v>
      </c>
      <c r="E15" s="142">
        <v>3.0</v>
      </c>
      <c r="F15" s="142">
        <v>7.0</v>
      </c>
      <c r="G15" s="142">
        <v>6.0</v>
      </c>
      <c r="H15" s="142">
        <v>7.0</v>
      </c>
      <c r="I15" s="142">
        <v>6.0</v>
      </c>
      <c r="J15" s="142">
        <v>6.0</v>
      </c>
      <c r="K15" s="142">
        <v>2.0</v>
      </c>
      <c r="L15" s="142">
        <v>3.0</v>
      </c>
      <c r="M15" s="142">
        <v>10.0</v>
      </c>
      <c r="N15" s="142">
        <v>8.0</v>
      </c>
      <c r="O15" s="142">
        <v>6.0</v>
      </c>
      <c r="P15" s="142">
        <v>6.0</v>
      </c>
      <c r="Q15" s="142">
        <v>3.0</v>
      </c>
      <c r="R15" s="142">
        <v>6.0</v>
      </c>
      <c r="S15" s="142">
        <v>3.0</v>
      </c>
      <c r="T15" s="143">
        <v>4.0</v>
      </c>
      <c r="U15" s="138">
        <f t="shared" si="3"/>
        <v>86</v>
      </c>
      <c r="V15" s="104"/>
    </row>
    <row r="16">
      <c r="B16" s="130" t="s">
        <v>37</v>
      </c>
      <c r="C16" s="138">
        <v>189.0</v>
      </c>
      <c r="D16" s="139">
        <v>0.0929</v>
      </c>
      <c r="E16" s="142">
        <v>4.0</v>
      </c>
      <c r="F16" s="142">
        <v>9.0</v>
      </c>
      <c r="G16" s="142">
        <v>8.0</v>
      </c>
      <c r="H16" s="142">
        <v>9.0</v>
      </c>
      <c r="I16" s="142">
        <v>8.0</v>
      </c>
      <c r="J16" s="142">
        <v>8.0</v>
      </c>
      <c r="K16" s="142">
        <v>2.0</v>
      </c>
      <c r="L16" s="142">
        <v>5.0</v>
      </c>
      <c r="M16" s="142">
        <v>14.0</v>
      </c>
      <c r="N16" s="142">
        <v>11.0</v>
      </c>
      <c r="O16" s="142">
        <v>8.0</v>
      </c>
      <c r="P16" s="142">
        <v>8.0</v>
      </c>
      <c r="Q16" s="142">
        <v>4.0</v>
      </c>
      <c r="R16" s="142">
        <v>8.0</v>
      </c>
      <c r="S16" s="142">
        <v>4.0</v>
      </c>
      <c r="T16" s="142">
        <v>11.0</v>
      </c>
      <c r="U16" s="138">
        <f t="shared" si="3"/>
        <v>121</v>
      </c>
      <c r="V16" s="104"/>
    </row>
    <row r="17">
      <c r="B17" s="130" t="s">
        <v>44</v>
      </c>
      <c r="C17" s="138">
        <v>154.0</v>
      </c>
      <c r="D17" s="139">
        <v>0.1328</v>
      </c>
      <c r="E17" s="143">
        <v>6.0</v>
      </c>
      <c r="F17" s="143">
        <v>13.0</v>
      </c>
      <c r="G17" s="143">
        <v>11.0</v>
      </c>
      <c r="H17" s="143">
        <v>13.0</v>
      </c>
      <c r="I17" s="143">
        <v>11.0</v>
      </c>
      <c r="J17" s="143">
        <v>11.0</v>
      </c>
      <c r="K17" s="143">
        <v>3.0</v>
      </c>
      <c r="L17" s="143">
        <v>7.0</v>
      </c>
      <c r="M17" s="143">
        <v>20.0</v>
      </c>
      <c r="N17" s="143">
        <v>16.0</v>
      </c>
      <c r="O17" s="143">
        <v>11.0</v>
      </c>
      <c r="P17" s="143">
        <v>11.0</v>
      </c>
      <c r="Q17" s="143">
        <v>5.0</v>
      </c>
      <c r="R17" s="143">
        <v>11.0</v>
      </c>
      <c r="S17" s="143">
        <v>6.0</v>
      </c>
      <c r="T17" s="143">
        <v>18.0</v>
      </c>
      <c r="U17" s="138">
        <f t="shared" si="3"/>
        <v>173</v>
      </c>
      <c r="V17" s="104"/>
    </row>
    <row r="18">
      <c r="B18" s="130" t="s">
        <v>132</v>
      </c>
      <c r="C18" s="138">
        <v>146.0</v>
      </c>
      <c r="D18" s="139">
        <v>0.0883</v>
      </c>
      <c r="E18" s="143">
        <v>4.0</v>
      </c>
      <c r="F18" s="143">
        <v>9.0</v>
      </c>
      <c r="G18" s="143">
        <v>7.0</v>
      </c>
      <c r="H18" s="143">
        <v>9.0</v>
      </c>
      <c r="I18" s="143">
        <v>7.0</v>
      </c>
      <c r="J18" s="143">
        <v>7.0</v>
      </c>
      <c r="K18" s="143">
        <v>2.0</v>
      </c>
      <c r="L18" s="143">
        <v>4.0</v>
      </c>
      <c r="M18" s="143">
        <v>13.0</v>
      </c>
      <c r="N18" s="143">
        <v>11.0</v>
      </c>
      <c r="O18" s="143">
        <v>7.0</v>
      </c>
      <c r="P18" s="143">
        <v>7.0</v>
      </c>
      <c r="Q18" s="143">
        <v>3.0</v>
      </c>
      <c r="R18" s="143">
        <v>7.0</v>
      </c>
      <c r="S18" s="143">
        <v>4.0</v>
      </c>
      <c r="T18" s="143">
        <v>14.0</v>
      </c>
      <c r="U18" s="138">
        <f t="shared" si="3"/>
        <v>115</v>
      </c>
      <c r="V18" s="104"/>
    </row>
    <row r="19">
      <c r="B19" s="130" t="s">
        <v>52</v>
      </c>
      <c r="C19" s="138">
        <v>66.0</v>
      </c>
      <c r="D19" s="139">
        <v>0.0791</v>
      </c>
      <c r="E19" s="142">
        <v>4.0</v>
      </c>
      <c r="F19" s="142">
        <v>8.0</v>
      </c>
      <c r="G19" s="142">
        <v>7.0</v>
      </c>
      <c r="H19" s="142">
        <v>8.0</v>
      </c>
      <c r="I19" s="142">
        <v>7.0</v>
      </c>
      <c r="J19" s="142">
        <v>7.0</v>
      </c>
      <c r="K19" s="142">
        <v>2.0</v>
      </c>
      <c r="L19" s="142">
        <v>4.0</v>
      </c>
      <c r="M19" s="142">
        <v>12.0</v>
      </c>
      <c r="N19" s="143">
        <v>10.0</v>
      </c>
      <c r="O19" s="142">
        <v>7.0</v>
      </c>
      <c r="P19" s="142">
        <v>7.0</v>
      </c>
      <c r="Q19" s="142">
        <v>3.0</v>
      </c>
      <c r="R19" s="142">
        <v>7.0</v>
      </c>
      <c r="S19" s="142">
        <v>4.0</v>
      </c>
      <c r="T19" s="143">
        <v>6.0</v>
      </c>
      <c r="U19" s="138">
        <f t="shared" si="3"/>
        <v>103</v>
      </c>
      <c r="V19" s="104"/>
    </row>
    <row r="20">
      <c r="B20" s="121" t="s">
        <v>58</v>
      </c>
      <c r="C20" s="138">
        <v>99.0</v>
      </c>
      <c r="D20" s="139">
        <v>0.1374</v>
      </c>
      <c r="E20" s="143">
        <v>5.0</v>
      </c>
      <c r="F20" s="142">
        <v>14.0</v>
      </c>
      <c r="G20" s="142">
        <v>12.0</v>
      </c>
      <c r="H20" s="142">
        <v>14.0</v>
      </c>
      <c r="I20" s="142">
        <v>12.0</v>
      </c>
      <c r="J20" s="142">
        <v>12.0</v>
      </c>
      <c r="K20" s="143">
        <v>3.0</v>
      </c>
      <c r="L20" s="142">
        <v>7.0</v>
      </c>
      <c r="M20" s="142">
        <v>21.0</v>
      </c>
      <c r="N20" s="143">
        <v>17.0</v>
      </c>
      <c r="O20" s="142">
        <v>12.0</v>
      </c>
      <c r="P20" s="142">
        <v>12.0</v>
      </c>
      <c r="Q20" s="143">
        <v>6.0</v>
      </c>
      <c r="R20" s="142">
        <v>12.0</v>
      </c>
      <c r="S20" s="143">
        <v>6.0</v>
      </c>
      <c r="T20" s="143">
        <v>14.0</v>
      </c>
      <c r="U20" s="138">
        <f t="shared" si="3"/>
        <v>179</v>
      </c>
      <c r="V20" s="104"/>
    </row>
    <row r="21">
      <c r="B21" s="130" t="s">
        <v>62</v>
      </c>
      <c r="C21" s="138">
        <v>214.0</v>
      </c>
      <c r="D21" s="139">
        <v>0.1144</v>
      </c>
      <c r="E21" s="142">
        <v>5.0</v>
      </c>
      <c r="F21" s="142">
        <v>11.0</v>
      </c>
      <c r="G21" s="142">
        <v>10.0</v>
      </c>
      <c r="H21" s="142">
        <v>11.0</v>
      </c>
      <c r="I21" s="142">
        <v>10.0</v>
      </c>
      <c r="J21" s="142">
        <v>10.0</v>
      </c>
      <c r="K21" s="142">
        <v>3.0</v>
      </c>
      <c r="L21" s="142">
        <v>6.0</v>
      </c>
      <c r="M21" s="142">
        <v>17.0</v>
      </c>
      <c r="N21" s="142">
        <v>14.0</v>
      </c>
      <c r="O21" s="142">
        <v>10.0</v>
      </c>
      <c r="P21" s="142">
        <v>10.0</v>
      </c>
      <c r="Q21" s="143">
        <v>5.0</v>
      </c>
      <c r="R21" s="142">
        <v>10.0</v>
      </c>
      <c r="S21" s="142">
        <v>5.0</v>
      </c>
      <c r="T21" s="143">
        <v>12.0</v>
      </c>
      <c r="U21" s="138">
        <f t="shared" si="3"/>
        <v>149</v>
      </c>
      <c r="V21" s="104"/>
    </row>
    <row r="22" ht="17.25" customHeight="1">
      <c r="B22" s="130" t="s">
        <v>69</v>
      </c>
      <c r="C22" s="138">
        <v>252.0</v>
      </c>
      <c r="D22" s="139">
        <v>0.1474</v>
      </c>
      <c r="E22" s="143">
        <v>6.0</v>
      </c>
      <c r="F22" s="142">
        <v>15.0</v>
      </c>
      <c r="G22" s="143">
        <v>13.0</v>
      </c>
      <c r="H22" s="142">
        <v>15.0</v>
      </c>
      <c r="I22" s="143">
        <v>13.0</v>
      </c>
      <c r="J22" s="143">
        <v>13.0</v>
      </c>
      <c r="K22" s="142">
        <v>4.0</v>
      </c>
      <c r="L22" s="142">
        <v>7.0</v>
      </c>
      <c r="M22" s="142">
        <v>22.0</v>
      </c>
      <c r="N22" s="142">
        <v>18.0</v>
      </c>
      <c r="O22" s="143">
        <v>13.0</v>
      </c>
      <c r="P22" s="143">
        <v>13.0</v>
      </c>
      <c r="Q22" s="142">
        <v>6.0</v>
      </c>
      <c r="R22" s="143">
        <v>13.0</v>
      </c>
      <c r="S22" s="142">
        <v>7.0</v>
      </c>
      <c r="T22" s="143">
        <v>14.0</v>
      </c>
      <c r="U22" s="138">
        <f t="shared" si="3"/>
        <v>192</v>
      </c>
      <c r="V22" s="104"/>
    </row>
    <row r="23">
      <c r="B23" s="121" t="s">
        <v>133</v>
      </c>
      <c r="C23" s="138">
        <v>60.0</v>
      </c>
      <c r="D23" s="139">
        <v>0.0519</v>
      </c>
      <c r="E23" s="143">
        <v>4.0</v>
      </c>
      <c r="F23" s="142">
        <v>5.0</v>
      </c>
      <c r="G23" s="143">
        <v>3.0</v>
      </c>
      <c r="H23" s="142">
        <v>5.0</v>
      </c>
      <c r="I23" s="143">
        <v>3.0</v>
      </c>
      <c r="J23" s="143">
        <v>3.0</v>
      </c>
      <c r="K23" s="143">
        <v>2.0</v>
      </c>
      <c r="L23" s="142">
        <v>3.0</v>
      </c>
      <c r="M23" s="142">
        <v>8.0</v>
      </c>
      <c r="N23" s="143">
        <v>4.0</v>
      </c>
      <c r="O23" s="143">
        <v>3.0</v>
      </c>
      <c r="P23" s="143">
        <v>3.0</v>
      </c>
      <c r="Q23" s="143">
        <v>1.0</v>
      </c>
      <c r="R23" s="143">
        <v>3.0</v>
      </c>
      <c r="S23" s="143">
        <v>2.0</v>
      </c>
      <c r="T23" s="143">
        <v>16.0</v>
      </c>
      <c r="U23" s="138">
        <f t="shared" si="3"/>
        <v>68</v>
      </c>
      <c r="V23" s="104"/>
    </row>
    <row r="24">
      <c r="B24" s="130" t="s">
        <v>134</v>
      </c>
      <c r="C24" s="144">
        <f>sum(C14:C23)</f>
        <v>1380</v>
      </c>
      <c r="D24" s="145">
        <f>SUM(D14:D23)</f>
        <v>1</v>
      </c>
      <c r="E24" s="146">
        <f t="shared" ref="E24:T24" si="4">sum(E14:E23)</f>
        <v>45</v>
      </c>
      <c r="F24" s="146">
        <f t="shared" si="4"/>
        <v>100</v>
      </c>
      <c r="G24" s="146">
        <f t="shared" si="4"/>
        <v>85</v>
      </c>
      <c r="H24" s="146">
        <f t="shared" si="4"/>
        <v>100</v>
      </c>
      <c r="I24" s="146">
        <f t="shared" si="4"/>
        <v>85</v>
      </c>
      <c r="J24" s="146">
        <f t="shared" si="4"/>
        <v>85</v>
      </c>
      <c r="K24" s="146">
        <f t="shared" si="4"/>
        <v>25</v>
      </c>
      <c r="L24" s="146">
        <f t="shared" si="4"/>
        <v>50</v>
      </c>
      <c r="M24" s="146">
        <f t="shared" si="4"/>
        <v>150</v>
      </c>
      <c r="N24" s="146">
        <f t="shared" si="4"/>
        <v>120</v>
      </c>
      <c r="O24" s="146">
        <f t="shared" si="4"/>
        <v>85</v>
      </c>
      <c r="P24" s="146">
        <f t="shared" si="4"/>
        <v>85</v>
      </c>
      <c r="Q24" s="146">
        <f t="shared" si="4"/>
        <v>40</v>
      </c>
      <c r="R24" s="146">
        <f t="shared" si="4"/>
        <v>85</v>
      </c>
      <c r="S24" s="146">
        <f t="shared" si="4"/>
        <v>45</v>
      </c>
      <c r="T24" s="146">
        <f t="shared" si="4"/>
        <v>118</v>
      </c>
      <c r="U24" s="144">
        <f>SUM(E24:T24)</f>
        <v>1303</v>
      </c>
      <c r="V24" s="104"/>
    </row>
    <row r="25" hidden="1">
      <c r="A25" s="106"/>
      <c r="B25" s="121" t="s">
        <v>130</v>
      </c>
      <c r="C25" s="147"/>
      <c r="D25" s="147"/>
      <c r="E25" s="146">
        <f t="shared" ref="E25:F25" si="5">sum(E14:E23)</f>
        <v>45</v>
      </c>
      <c r="F25" s="146">
        <f t="shared" si="5"/>
        <v>100</v>
      </c>
      <c r="G25" s="146"/>
      <c r="H25" s="146"/>
      <c r="I25" s="146"/>
      <c r="J25" s="146">
        <f>sum(J14:J23)</f>
        <v>85</v>
      </c>
      <c r="K25" s="146"/>
      <c r="L25" s="146">
        <f t="shared" ref="L25:O25" si="6">sum(L14:L23)</f>
        <v>50</v>
      </c>
      <c r="M25" s="146">
        <f t="shared" si="6"/>
        <v>150</v>
      </c>
      <c r="N25" s="146">
        <f t="shared" si="6"/>
        <v>120</v>
      </c>
      <c r="O25" s="146">
        <f t="shared" si="6"/>
        <v>85</v>
      </c>
      <c r="P25" s="146"/>
      <c r="Q25" s="146"/>
      <c r="R25" s="146"/>
      <c r="S25" s="146">
        <f t="shared" ref="S25:T25" si="7">sum(S14:S24)</f>
        <v>90</v>
      </c>
      <c r="T25" s="146">
        <f t="shared" si="7"/>
        <v>236</v>
      </c>
      <c r="U25" s="147"/>
      <c r="V25" s="104"/>
    </row>
    <row r="26">
      <c r="A26" s="134"/>
      <c r="B26" s="135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4"/>
    </row>
    <row r="27">
      <c r="A27" s="106" t="s">
        <v>135</v>
      </c>
      <c r="B27" s="136" t="s">
        <v>100</v>
      </c>
      <c r="C27" s="137"/>
      <c r="D27" s="137"/>
      <c r="E27" s="108" t="s">
        <v>136</v>
      </c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10"/>
      <c r="V27" s="104"/>
    </row>
    <row r="28">
      <c r="B28" s="114"/>
      <c r="C28" s="115" t="s">
        <v>104</v>
      </c>
      <c r="D28" s="116" t="s">
        <v>105</v>
      </c>
      <c r="E28" s="148"/>
      <c r="F28" s="116" t="s">
        <v>107</v>
      </c>
      <c r="G28" s="116" t="s">
        <v>108</v>
      </c>
      <c r="H28" s="116" t="s">
        <v>109</v>
      </c>
      <c r="I28" s="116" t="s">
        <v>110</v>
      </c>
      <c r="J28" s="148"/>
      <c r="K28" s="116" t="s">
        <v>91</v>
      </c>
      <c r="L28" s="148"/>
      <c r="M28" s="116" t="s">
        <v>113</v>
      </c>
      <c r="N28" s="148"/>
      <c r="O28" s="116" t="s">
        <v>115</v>
      </c>
      <c r="P28" s="116" t="s">
        <v>116</v>
      </c>
      <c r="Q28" s="148"/>
      <c r="R28" s="148"/>
      <c r="S28" s="148"/>
      <c r="T28" s="148"/>
      <c r="U28" s="117" t="s">
        <v>121</v>
      </c>
      <c r="V28" s="104"/>
    </row>
    <row r="29">
      <c r="B29" s="130" t="s">
        <v>18</v>
      </c>
      <c r="C29" s="149">
        <v>175.0</v>
      </c>
      <c r="D29" s="150">
        <v>0.42</v>
      </c>
      <c r="E29" s="151"/>
      <c r="F29" s="152">
        <v>15.0</v>
      </c>
      <c r="G29" s="152">
        <v>15.0</v>
      </c>
      <c r="H29" s="152">
        <v>14.0</v>
      </c>
      <c r="I29" s="152">
        <v>14.0</v>
      </c>
      <c r="J29" s="151"/>
      <c r="K29" s="152">
        <v>28.0</v>
      </c>
      <c r="L29" s="153"/>
      <c r="M29" s="152">
        <v>22.0</v>
      </c>
      <c r="N29" s="153"/>
      <c r="O29" s="152">
        <v>28.0</v>
      </c>
      <c r="P29" s="152">
        <v>28.0</v>
      </c>
      <c r="Q29" s="153"/>
      <c r="R29" s="153"/>
      <c r="S29" s="153"/>
      <c r="T29" s="153"/>
      <c r="U29" s="138"/>
      <c r="V29" s="104"/>
    </row>
    <row r="30">
      <c r="B30" s="130" t="s">
        <v>40</v>
      </c>
      <c r="C30" s="149">
        <v>25.0</v>
      </c>
      <c r="D30" s="150">
        <v>0.03</v>
      </c>
      <c r="E30" s="154"/>
      <c r="F30" s="155">
        <v>4.0</v>
      </c>
      <c r="G30" s="155">
        <v>4.0</v>
      </c>
      <c r="H30" s="155">
        <v>3.0</v>
      </c>
      <c r="I30" s="155">
        <v>3.0</v>
      </c>
      <c r="J30" s="154"/>
      <c r="K30" s="155">
        <v>10.0</v>
      </c>
      <c r="L30" s="156"/>
      <c r="M30" s="155">
        <v>8.0</v>
      </c>
      <c r="N30" s="156"/>
      <c r="O30" s="155">
        <v>6.0</v>
      </c>
      <c r="P30" s="155">
        <v>7.0</v>
      </c>
      <c r="Q30" s="156"/>
      <c r="R30" s="156"/>
      <c r="S30" s="156"/>
      <c r="T30" s="156"/>
      <c r="U30" s="138">
        <v>45.0</v>
      </c>
      <c r="V30" s="104"/>
    </row>
    <row r="31">
      <c r="B31" s="130" t="s">
        <v>42</v>
      </c>
      <c r="C31" s="149">
        <v>8.0</v>
      </c>
      <c r="D31" s="150">
        <v>0.02</v>
      </c>
      <c r="E31" s="154"/>
      <c r="F31" s="155">
        <v>5.0</v>
      </c>
      <c r="G31" s="155">
        <v>4.0</v>
      </c>
      <c r="H31" s="155">
        <v>0.0</v>
      </c>
      <c r="I31" s="155">
        <v>0.0</v>
      </c>
      <c r="J31" s="154"/>
      <c r="K31" s="155">
        <v>6.0</v>
      </c>
      <c r="L31" s="156"/>
      <c r="M31" s="155">
        <v>5.0</v>
      </c>
      <c r="N31" s="156"/>
      <c r="O31" s="155">
        <v>4.0</v>
      </c>
      <c r="P31" s="155">
        <v>4.0</v>
      </c>
      <c r="Q31" s="156"/>
      <c r="R31" s="156"/>
      <c r="S31" s="156"/>
      <c r="T31" s="156"/>
      <c r="U31" s="138">
        <v>28.0</v>
      </c>
      <c r="V31" s="104"/>
    </row>
    <row r="32">
      <c r="B32" s="130" t="s">
        <v>55</v>
      </c>
      <c r="C32" s="149">
        <v>53.0</v>
      </c>
      <c r="D32" s="150">
        <v>0.16</v>
      </c>
      <c r="E32" s="154"/>
      <c r="F32" s="155">
        <v>6.0</v>
      </c>
      <c r="G32" s="155">
        <v>6.0</v>
      </c>
      <c r="H32" s="155">
        <v>5.0</v>
      </c>
      <c r="I32" s="155">
        <v>5.0</v>
      </c>
      <c r="J32" s="154"/>
      <c r="K32" s="155">
        <v>9.0</v>
      </c>
      <c r="L32" s="156"/>
      <c r="M32" s="155">
        <v>11.0</v>
      </c>
      <c r="N32" s="156"/>
      <c r="O32" s="155">
        <v>15.0</v>
      </c>
      <c r="P32" s="155">
        <v>16.0</v>
      </c>
      <c r="Q32" s="156"/>
      <c r="R32" s="156"/>
      <c r="S32" s="156"/>
      <c r="T32" s="156"/>
      <c r="U32" s="138">
        <v>73.0</v>
      </c>
      <c r="V32" s="104"/>
    </row>
    <row r="33">
      <c r="B33" s="130" t="s">
        <v>64</v>
      </c>
      <c r="C33" s="149">
        <v>133.0</v>
      </c>
      <c r="D33" s="150">
        <v>0.2</v>
      </c>
      <c r="E33" s="154"/>
      <c r="F33" s="155">
        <v>7.0</v>
      </c>
      <c r="G33" s="155">
        <v>6.0</v>
      </c>
      <c r="H33" s="155">
        <v>5.0</v>
      </c>
      <c r="I33" s="155">
        <v>5.0</v>
      </c>
      <c r="J33" s="154"/>
      <c r="K33" s="155">
        <v>15.0</v>
      </c>
      <c r="L33" s="156"/>
      <c r="M33" s="155">
        <v>9.0</v>
      </c>
      <c r="N33" s="156"/>
      <c r="O33" s="155">
        <v>19.0</v>
      </c>
      <c r="P33" s="155">
        <v>22.0</v>
      </c>
      <c r="Q33" s="156"/>
      <c r="R33" s="156"/>
      <c r="S33" s="156"/>
      <c r="T33" s="156"/>
      <c r="U33" s="138">
        <v>88.0</v>
      </c>
      <c r="V33" s="104"/>
    </row>
    <row r="34">
      <c r="B34" s="130" t="s">
        <v>137</v>
      </c>
      <c r="C34" s="149">
        <v>55.0</v>
      </c>
      <c r="D34" s="150">
        <v>0.17</v>
      </c>
      <c r="E34" s="154"/>
      <c r="F34" s="155">
        <v>8.0</v>
      </c>
      <c r="G34" s="155">
        <v>8.0</v>
      </c>
      <c r="H34" s="155">
        <v>7.0</v>
      </c>
      <c r="I34" s="155">
        <v>7.0</v>
      </c>
      <c r="J34" s="154"/>
      <c r="K34" s="155">
        <v>11.0</v>
      </c>
      <c r="L34" s="156"/>
      <c r="M34" s="155">
        <v>11.0</v>
      </c>
      <c r="N34" s="156"/>
      <c r="O34" s="155">
        <v>14.0</v>
      </c>
      <c r="P34" s="155">
        <v>3.0</v>
      </c>
      <c r="Q34" s="156"/>
      <c r="R34" s="156"/>
      <c r="S34" s="156"/>
      <c r="T34" s="156"/>
      <c r="U34" s="138">
        <v>69.0</v>
      </c>
      <c r="V34" s="104"/>
    </row>
    <row r="35">
      <c r="B35" s="130" t="s">
        <v>138</v>
      </c>
      <c r="C35" s="131">
        <f>sum(C30,C31,C32,C33,C34,C29)</f>
        <v>449</v>
      </c>
      <c r="D35" s="157">
        <f>C35/$C$35</f>
        <v>1</v>
      </c>
      <c r="E35" s="154"/>
      <c r="F35" s="155"/>
      <c r="G35" s="155"/>
      <c r="H35" s="155"/>
      <c r="I35" s="155"/>
      <c r="J35" s="154"/>
      <c r="K35" s="155"/>
      <c r="L35" s="156"/>
      <c r="M35" s="155"/>
      <c r="N35" s="156"/>
      <c r="O35" s="155"/>
      <c r="P35" s="155"/>
      <c r="Q35" s="156"/>
      <c r="R35" s="156"/>
      <c r="S35" s="156"/>
      <c r="T35" s="156"/>
      <c r="U35" s="138"/>
      <c r="V35" s="104"/>
    </row>
    <row r="36" hidden="1">
      <c r="A36" s="106"/>
      <c r="B36" s="121" t="s">
        <v>130</v>
      </c>
      <c r="C36" s="131"/>
      <c r="D36" s="131"/>
      <c r="E36" s="154"/>
      <c r="F36" s="155"/>
      <c r="G36" s="155"/>
      <c r="H36" s="155"/>
      <c r="I36" s="155"/>
      <c r="J36" s="154"/>
      <c r="K36" s="155"/>
      <c r="L36" s="156"/>
      <c r="M36" s="155"/>
      <c r="N36" s="156"/>
      <c r="O36" s="155"/>
      <c r="P36" s="155"/>
      <c r="Q36" s="156"/>
      <c r="R36" s="156"/>
      <c r="S36" s="156"/>
      <c r="T36" s="156"/>
      <c r="U36" s="138"/>
      <c r="V36" s="104"/>
      <c r="W36" s="129"/>
    </row>
    <row r="37">
      <c r="A37" s="106"/>
      <c r="B37" s="158"/>
      <c r="C37" s="159"/>
      <c r="D37" s="159"/>
      <c r="E37" s="154"/>
      <c r="F37" s="155"/>
      <c r="G37" s="155"/>
      <c r="H37" s="155"/>
      <c r="I37" s="155"/>
      <c r="J37" s="154"/>
      <c r="K37" s="155"/>
      <c r="L37" s="156"/>
      <c r="M37" s="155"/>
      <c r="N37" s="156"/>
      <c r="O37" s="155"/>
      <c r="P37" s="155"/>
      <c r="Q37" s="156"/>
      <c r="R37" s="156"/>
      <c r="S37" s="156"/>
      <c r="T37" s="156"/>
      <c r="U37" s="138"/>
      <c r="V37" s="104"/>
      <c r="W37" s="129"/>
    </row>
    <row r="38">
      <c r="A38" s="106"/>
      <c r="B38" s="158"/>
      <c r="C38" s="159"/>
      <c r="D38" s="159"/>
      <c r="E38" s="154"/>
      <c r="F38" s="155"/>
      <c r="G38" s="155"/>
      <c r="H38" s="155"/>
      <c r="I38" s="155"/>
      <c r="J38" s="154"/>
      <c r="K38" s="155"/>
      <c r="L38" s="156"/>
      <c r="M38" s="155"/>
      <c r="N38" s="156"/>
      <c r="O38" s="155"/>
      <c r="P38" s="155"/>
      <c r="Q38" s="156"/>
      <c r="R38" s="156"/>
      <c r="S38" s="156"/>
      <c r="T38" s="156"/>
      <c r="U38" s="138"/>
      <c r="V38" s="104"/>
      <c r="W38" s="129"/>
    </row>
    <row r="39">
      <c r="A39" s="106"/>
      <c r="B39" s="158"/>
      <c r="C39" s="159"/>
      <c r="D39" s="159"/>
      <c r="E39" s="160"/>
      <c r="F39" s="146">
        <f t="shared" ref="F39:I39" si="8">sum(F29:F38)</f>
        <v>45</v>
      </c>
      <c r="G39" s="146">
        <f t="shared" si="8"/>
        <v>43</v>
      </c>
      <c r="H39" s="146">
        <f t="shared" si="8"/>
        <v>34</v>
      </c>
      <c r="I39" s="146">
        <f t="shared" si="8"/>
        <v>34</v>
      </c>
      <c r="J39" s="160"/>
      <c r="K39" s="146">
        <f>sum(K29:K38)</f>
        <v>79</v>
      </c>
      <c r="L39" s="160"/>
      <c r="M39" s="146">
        <f>sum(M29:M38)</f>
        <v>66</v>
      </c>
      <c r="N39" s="160"/>
      <c r="O39" s="146">
        <f t="shared" ref="O39:P39" si="9">sum(O29:O38)</f>
        <v>86</v>
      </c>
      <c r="P39" s="146">
        <f t="shared" si="9"/>
        <v>80</v>
      </c>
      <c r="Q39" s="160"/>
      <c r="R39" s="160"/>
      <c r="S39" s="160"/>
      <c r="T39" s="160"/>
      <c r="U39" s="144">
        <f>SUM(E39:T39)</f>
        <v>467</v>
      </c>
      <c r="V39" s="104"/>
      <c r="W39" s="129"/>
    </row>
  </sheetData>
  <mergeCells count="8">
    <mergeCell ref="A2:A9"/>
    <mergeCell ref="E2:U2"/>
    <mergeCell ref="X5:X35"/>
    <mergeCell ref="W6:W35"/>
    <mergeCell ref="A12:A24"/>
    <mergeCell ref="E12:U12"/>
    <mergeCell ref="A27:A35"/>
    <mergeCell ref="E27:U27"/>
  </mergeCells>
  <printOptions gridLines="1" horizontalCentered="1"/>
  <pageMargins bottom="0.0" footer="0.0" header="0.0" left="0.25" right="0.25" top="0.75"/>
  <pageSetup paperSize="3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4" max="5" width="12.63"/>
  </cols>
  <sheetData>
    <row r="1">
      <c r="G1" s="161"/>
    </row>
    <row r="2">
      <c r="G2" s="161"/>
    </row>
    <row r="3">
      <c r="B3" s="162">
        <v>3200.0</v>
      </c>
      <c r="C3" s="163" t="s">
        <v>139</v>
      </c>
      <c r="D3" s="164" t="s">
        <v>140</v>
      </c>
      <c r="E3" s="164" t="s">
        <v>141</v>
      </c>
      <c r="F3" s="164" t="s">
        <v>142</v>
      </c>
      <c r="G3" s="165"/>
      <c r="H3" s="165" t="s">
        <v>143</v>
      </c>
    </row>
    <row r="4">
      <c r="B4" s="121" t="s">
        <v>123</v>
      </c>
      <c r="C4" s="166">
        <v>125.0</v>
      </c>
      <c r="D4" s="166">
        <v>50.0</v>
      </c>
      <c r="E4" s="167"/>
      <c r="F4" s="166">
        <v>125.0</v>
      </c>
      <c r="G4" s="161"/>
    </row>
    <row r="5">
      <c r="B5" s="121" t="s">
        <v>125</v>
      </c>
      <c r="C5" s="166">
        <v>136.0</v>
      </c>
      <c r="D5" s="166">
        <v>25.0</v>
      </c>
      <c r="E5" s="167"/>
      <c r="F5" s="166">
        <v>128.0</v>
      </c>
      <c r="G5" s="161"/>
    </row>
    <row r="6">
      <c r="B6" s="121" t="s">
        <v>127</v>
      </c>
      <c r="C6" s="166">
        <v>107.0</v>
      </c>
      <c r="D6" s="167"/>
      <c r="E6" s="167"/>
      <c r="F6" s="166">
        <v>102.0</v>
      </c>
      <c r="G6" s="161"/>
    </row>
    <row r="7">
      <c r="B7" s="121" t="s">
        <v>144</v>
      </c>
      <c r="C7" s="166">
        <v>147.0</v>
      </c>
      <c r="D7" s="167"/>
      <c r="E7" s="167"/>
      <c r="F7" s="166">
        <v>116.0</v>
      </c>
      <c r="G7" s="161"/>
    </row>
    <row r="8">
      <c r="B8" s="121" t="s">
        <v>128</v>
      </c>
      <c r="C8" s="166">
        <v>172.0</v>
      </c>
      <c r="D8" s="166">
        <v>100.0</v>
      </c>
      <c r="E8" s="167"/>
      <c r="F8" s="166">
        <v>172.0</v>
      </c>
      <c r="G8" s="165" t="s">
        <v>145</v>
      </c>
      <c r="H8" s="165" t="s">
        <v>146</v>
      </c>
      <c r="I8" s="165" t="s">
        <v>147</v>
      </c>
      <c r="J8" s="165" t="s">
        <v>148</v>
      </c>
      <c r="K8" s="165" t="s">
        <v>149</v>
      </c>
      <c r="L8" s="165" t="s">
        <v>150</v>
      </c>
    </row>
    <row r="9">
      <c r="B9" s="168">
        <v>880.0</v>
      </c>
      <c r="C9" s="169">
        <f>SUM(C4:C8)</f>
        <v>687</v>
      </c>
      <c r="D9" s="169">
        <f>sum(D4:D8)</f>
        <v>175</v>
      </c>
      <c r="E9" s="170">
        <f>C9+D9</f>
        <v>862</v>
      </c>
      <c r="F9" s="170">
        <f>sum(F4:F8)</f>
        <v>643</v>
      </c>
      <c r="G9" s="165">
        <v>705.0</v>
      </c>
      <c r="H9" s="1">
        <v>643.0</v>
      </c>
      <c r="I9" s="1">
        <v>633.0</v>
      </c>
      <c r="J9" s="1">
        <v>623.0</v>
      </c>
      <c r="K9" s="1">
        <v>613.0</v>
      </c>
      <c r="L9" s="161">
        <f>SUM(H9:K9)</f>
        <v>2512</v>
      </c>
    </row>
    <row r="10">
      <c r="B10" s="171" t="s">
        <v>15</v>
      </c>
      <c r="C10" s="172">
        <v>117.0</v>
      </c>
      <c r="D10" s="173"/>
      <c r="E10" s="173"/>
      <c r="F10" s="172">
        <v>83.0</v>
      </c>
      <c r="G10" s="161"/>
      <c r="H10" s="2"/>
      <c r="I10" s="2"/>
      <c r="J10" s="2"/>
      <c r="K10" s="2"/>
      <c r="L10" s="161"/>
    </row>
    <row r="11">
      <c r="B11" s="171" t="s">
        <v>132</v>
      </c>
      <c r="C11" s="172">
        <v>115.0</v>
      </c>
      <c r="D11" s="172">
        <v>50.0</v>
      </c>
      <c r="E11" s="173"/>
      <c r="F11" s="172">
        <v>114.0</v>
      </c>
      <c r="G11" s="161"/>
      <c r="H11" s="2"/>
      <c r="I11" s="2"/>
      <c r="J11" s="2"/>
      <c r="K11" s="2"/>
      <c r="L11" s="161"/>
    </row>
    <row r="12">
      <c r="B12" s="171" t="s">
        <v>44</v>
      </c>
      <c r="C12" s="172">
        <v>173.0</v>
      </c>
      <c r="D12" s="172">
        <v>25.0</v>
      </c>
      <c r="E12" s="173"/>
      <c r="F12" s="172">
        <v>168.0</v>
      </c>
      <c r="G12" s="161"/>
      <c r="H12" s="2"/>
      <c r="I12" s="2"/>
      <c r="J12" s="2"/>
      <c r="K12" s="2"/>
      <c r="L12" s="161"/>
    </row>
    <row r="13">
      <c r="B13" s="171" t="s">
        <v>69</v>
      </c>
      <c r="C13" s="172">
        <v>192.0</v>
      </c>
      <c r="D13" s="172">
        <v>200.0</v>
      </c>
      <c r="E13" s="173"/>
      <c r="F13" s="172">
        <v>173.0</v>
      </c>
      <c r="G13" s="165" t="s">
        <v>145</v>
      </c>
      <c r="H13" s="165" t="s">
        <v>146</v>
      </c>
      <c r="I13" s="165" t="s">
        <v>147</v>
      </c>
      <c r="J13" s="165" t="s">
        <v>148</v>
      </c>
      <c r="K13" s="165" t="s">
        <v>149</v>
      </c>
      <c r="L13" s="165" t="s">
        <v>150</v>
      </c>
    </row>
    <row r="14">
      <c r="B14" s="168">
        <v>880.0</v>
      </c>
      <c r="C14" s="170">
        <f t="shared" ref="C14:D14" si="1">SUM(C10:C13)</f>
        <v>597</v>
      </c>
      <c r="D14" s="169">
        <f t="shared" si="1"/>
        <v>275</v>
      </c>
      <c r="E14" s="170">
        <f>C14+D14</f>
        <v>872</v>
      </c>
      <c r="F14" s="170">
        <f>SUM(F10:F13)</f>
        <v>538</v>
      </c>
      <c r="G14" s="165" t="s">
        <v>151</v>
      </c>
      <c r="H14" s="1">
        <v>538.0</v>
      </c>
      <c r="I14" s="1">
        <v>528.0</v>
      </c>
      <c r="J14" s="1">
        <v>518.0</v>
      </c>
      <c r="K14" s="1">
        <v>508.0</v>
      </c>
      <c r="L14" s="161">
        <f>sum(H14:K14)</f>
        <v>2092</v>
      </c>
    </row>
    <row r="15">
      <c r="B15" s="174" t="s">
        <v>24</v>
      </c>
      <c r="C15" s="175">
        <v>86.0</v>
      </c>
      <c r="D15" s="175">
        <v>50.0</v>
      </c>
      <c r="E15" s="176"/>
      <c r="F15" s="175">
        <v>81.0</v>
      </c>
      <c r="G15" s="161"/>
      <c r="H15" s="2"/>
      <c r="I15" s="2"/>
      <c r="J15" s="2"/>
      <c r="K15" s="2"/>
      <c r="L15" s="161"/>
    </row>
    <row r="16">
      <c r="B16" s="174" t="s">
        <v>37</v>
      </c>
      <c r="C16" s="175">
        <v>121.0</v>
      </c>
      <c r="D16" s="176"/>
      <c r="E16" s="176"/>
      <c r="F16" s="175">
        <v>121.0</v>
      </c>
      <c r="G16" s="161"/>
      <c r="H16" s="2"/>
      <c r="I16" s="2"/>
      <c r="J16" s="2"/>
      <c r="K16" s="2"/>
      <c r="L16" s="161"/>
    </row>
    <row r="17">
      <c r="B17" s="174" t="s">
        <v>52</v>
      </c>
      <c r="C17" s="175">
        <v>103.0</v>
      </c>
      <c r="D17" s="176"/>
      <c r="E17" s="176"/>
      <c r="F17" s="175">
        <v>89.0</v>
      </c>
      <c r="G17" s="161"/>
      <c r="H17" s="2"/>
      <c r="I17" s="2"/>
      <c r="J17" s="2"/>
      <c r="K17" s="2"/>
      <c r="L17" s="161"/>
    </row>
    <row r="18">
      <c r="B18" s="177" t="s">
        <v>58</v>
      </c>
      <c r="C18" s="175">
        <v>179.0</v>
      </c>
      <c r="D18" s="176"/>
      <c r="E18" s="176"/>
      <c r="F18" s="175">
        <v>167.0</v>
      </c>
      <c r="G18" s="161"/>
      <c r="H18" s="2"/>
      <c r="I18" s="2"/>
      <c r="J18" s="2"/>
      <c r="K18" s="2"/>
      <c r="L18" s="161"/>
    </row>
    <row r="19">
      <c r="B19" s="174" t="s">
        <v>62</v>
      </c>
      <c r="C19" s="175">
        <v>149.0</v>
      </c>
      <c r="D19" s="175">
        <v>50.0</v>
      </c>
      <c r="E19" s="176"/>
      <c r="F19" s="175">
        <v>149.0</v>
      </c>
      <c r="G19" s="161"/>
      <c r="H19" s="2"/>
      <c r="I19" s="2"/>
      <c r="J19" s="2"/>
      <c r="K19" s="2"/>
      <c r="L19" s="161"/>
    </row>
    <row r="20">
      <c r="B20" s="177" t="s">
        <v>133</v>
      </c>
      <c r="C20" s="175">
        <v>68.0</v>
      </c>
      <c r="D20" s="176"/>
      <c r="E20" s="176"/>
      <c r="F20" s="175">
        <v>30.0</v>
      </c>
      <c r="G20" s="165" t="s">
        <v>145</v>
      </c>
      <c r="H20" s="165" t="s">
        <v>146</v>
      </c>
      <c r="I20" s="165" t="s">
        <v>147</v>
      </c>
      <c r="J20" s="165" t="s">
        <v>148</v>
      </c>
      <c r="K20" s="165" t="s">
        <v>149</v>
      </c>
      <c r="L20" s="165" t="s">
        <v>150</v>
      </c>
    </row>
    <row r="21">
      <c r="B21" s="168">
        <v>880.0</v>
      </c>
      <c r="C21" s="169">
        <f t="shared" ref="C21:D21" si="2">sum(C15:C20)</f>
        <v>706</v>
      </c>
      <c r="D21" s="169">
        <f t="shared" si="2"/>
        <v>100</v>
      </c>
      <c r="E21" s="169">
        <f>C21+D21</f>
        <v>806</v>
      </c>
      <c r="F21" s="170">
        <f>sum(F15:F20)</f>
        <v>637</v>
      </c>
      <c r="G21" s="165" t="s">
        <v>151</v>
      </c>
      <c r="H21" s="1">
        <v>637.0</v>
      </c>
      <c r="I21" s="1">
        <v>627.0</v>
      </c>
      <c r="J21" s="1">
        <v>617.0</v>
      </c>
      <c r="K21" s="1">
        <v>607.0</v>
      </c>
      <c r="L21" s="161">
        <f>sum(H21:K21)</f>
        <v>2488</v>
      </c>
    </row>
    <row r="22">
      <c r="B22" s="178" t="s">
        <v>18</v>
      </c>
      <c r="C22" s="179">
        <v>212.0</v>
      </c>
      <c r="D22" s="180"/>
      <c r="E22" s="180"/>
      <c r="F22" s="179">
        <v>207.0</v>
      </c>
      <c r="G22" s="161"/>
      <c r="H22" s="2"/>
      <c r="I22" s="2"/>
      <c r="J22" s="2"/>
      <c r="K22" s="2"/>
      <c r="L22" s="161"/>
    </row>
    <row r="23">
      <c r="B23" s="178" t="s">
        <v>40</v>
      </c>
      <c r="C23" s="179">
        <v>71.0</v>
      </c>
      <c r="D23" s="180"/>
      <c r="E23" s="180"/>
      <c r="F23" s="179">
        <v>0.0</v>
      </c>
      <c r="G23" s="161"/>
      <c r="H23" s="2"/>
      <c r="I23" s="2"/>
      <c r="J23" s="2"/>
      <c r="K23" s="2"/>
      <c r="L23" s="161"/>
    </row>
    <row r="24">
      <c r="B24" s="178" t="s">
        <v>42</v>
      </c>
      <c r="C24" s="179">
        <v>22.0</v>
      </c>
      <c r="D24" s="179">
        <v>25.0</v>
      </c>
      <c r="E24" s="180"/>
      <c r="F24" s="179">
        <v>0.0</v>
      </c>
      <c r="G24" s="161"/>
      <c r="H24" s="2"/>
      <c r="I24" s="2"/>
      <c r="J24" s="2"/>
      <c r="K24" s="2"/>
      <c r="L24" s="161"/>
    </row>
    <row r="25">
      <c r="B25" s="178" t="s">
        <v>55</v>
      </c>
      <c r="C25" s="179">
        <v>153.0</v>
      </c>
      <c r="D25" s="179">
        <v>75.0</v>
      </c>
      <c r="E25" s="180"/>
      <c r="F25" s="179">
        <v>153.0</v>
      </c>
      <c r="G25" s="161"/>
      <c r="H25" s="2"/>
      <c r="I25" s="2"/>
      <c r="J25" s="2"/>
      <c r="K25" s="2"/>
      <c r="L25" s="161"/>
    </row>
    <row r="26">
      <c r="B26" s="178" t="s">
        <v>64</v>
      </c>
      <c r="C26" s="179">
        <v>132.0</v>
      </c>
      <c r="D26" s="179">
        <v>50.0</v>
      </c>
      <c r="E26" s="180"/>
      <c r="F26" s="179">
        <v>126.0</v>
      </c>
      <c r="G26" s="161"/>
      <c r="H26" s="2"/>
      <c r="I26" s="2"/>
      <c r="J26" s="2"/>
      <c r="K26" s="2"/>
      <c r="L26" s="161"/>
    </row>
    <row r="27">
      <c r="B27" s="178" t="s">
        <v>137</v>
      </c>
      <c r="C27" s="179">
        <v>179.0</v>
      </c>
      <c r="D27" s="180"/>
      <c r="E27" s="180"/>
      <c r="F27" s="179">
        <v>146.0</v>
      </c>
      <c r="G27" s="165" t="s">
        <v>145</v>
      </c>
      <c r="H27" s="165" t="s">
        <v>146</v>
      </c>
      <c r="I27" s="165" t="s">
        <v>147</v>
      </c>
      <c r="J27" s="165" t="s">
        <v>148</v>
      </c>
      <c r="K27" s="165" t="s">
        <v>149</v>
      </c>
      <c r="L27" s="165" t="s">
        <v>150</v>
      </c>
    </row>
    <row r="28">
      <c r="B28" s="170">
        <v>880.0</v>
      </c>
      <c r="C28" s="169">
        <f>sum(C22:C27)</f>
        <v>769</v>
      </c>
      <c r="D28" s="169">
        <f>SUM(D22:D27)</f>
        <v>150</v>
      </c>
      <c r="E28" s="169">
        <f>C28+D28</f>
        <v>919</v>
      </c>
      <c r="F28" s="170">
        <f>SUM(F22:F27)</f>
        <v>632</v>
      </c>
      <c r="G28" s="165">
        <v>346.0</v>
      </c>
      <c r="H28" s="1">
        <v>632.0</v>
      </c>
      <c r="I28" s="1">
        <v>622.0</v>
      </c>
      <c r="J28" s="1">
        <v>612.0</v>
      </c>
      <c r="K28" s="1">
        <v>602.0</v>
      </c>
      <c r="L28" s="161">
        <f>sum(H28:K28)</f>
        <v>2468</v>
      </c>
    </row>
    <row r="29">
      <c r="G29" s="161"/>
    </row>
    <row r="30">
      <c r="G30" s="161"/>
      <c r="K30" s="181" t="s">
        <v>152</v>
      </c>
      <c r="L30" s="182">
        <f>sum(L8:L28)</f>
        <v>9560</v>
      </c>
    </row>
    <row r="31">
      <c r="G31" s="161"/>
    </row>
    <row r="32">
      <c r="G32" s="161"/>
    </row>
    <row r="33">
      <c r="G33" s="161"/>
    </row>
    <row r="34">
      <c r="G34" s="161"/>
    </row>
    <row r="35">
      <c r="G35" s="161"/>
    </row>
    <row r="36">
      <c r="G36" s="161"/>
    </row>
    <row r="37">
      <c r="G37" s="161"/>
    </row>
    <row r="38">
      <c r="G38" s="161"/>
    </row>
    <row r="39">
      <c r="G39" s="161"/>
    </row>
    <row r="40">
      <c r="G40" s="161"/>
    </row>
    <row r="41">
      <c r="G41" s="161"/>
    </row>
    <row r="42">
      <c r="G42" s="161"/>
    </row>
    <row r="43">
      <c r="G43" s="161"/>
    </row>
    <row r="44">
      <c r="G44" s="161"/>
    </row>
    <row r="45">
      <c r="G45" s="161"/>
    </row>
    <row r="46">
      <c r="G46" s="161"/>
    </row>
    <row r="47">
      <c r="G47" s="161"/>
    </row>
    <row r="48">
      <c r="G48" s="161"/>
    </row>
    <row r="49">
      <c r="G49" s="161"/>
    </row>
    <row r="50">
      <c r="G50" s="161"/>
    </row>
    <row r="51">
      <c r="G51" s="161"/>
    </row>
    <row r="52">
      <c r="G52" s="161"/>
    </row>
    <row r="53">
      <c r="G53" s="161"/>
    </row>
    <row r="54">
      <c r="G54" s="161"/>
    </row>
    <row r="55">
      <c r="G55" s="161"/>
    </row>
    <row r="56">
      <c r="G56" s="161"/>
    </row>
    <row r="57">
      <c r="G57" s="161"/>
    </row>
    <row r="58">
      <c r="G58" s="161"/>
    </row>
    <row r="59">
      <c r="G59" s="161"/>
    </row>
    <row r="60">
      <c r="G60" s="161"/>
    </row>
    <row r="61">
      <c r="G61" s="161"/>
    </row>
    <row r="62">
      <c r="G62" s="161"/>
    </row>
    <row r="63">
      <c r="G63" s="161"/>
    </row>
    <row r="64">
      <c r="G64" s="161"/>
    </row>
    <row r="65">
      <c r="G65" s="161"/>
    </row>
    <row r="66">
      <c r="G66" s="161"/>
    </row>
    <row r="67">
      <c r="G67" s="161"/>
    </row>
    <row r="68">
      <c r="G68" s="161"/>
    </row>
    <row r="69">
      <c r="G69" s="161"/>
    </row>
    <row r="70">
      <c r="G70" s="161"/>
    </row>
    <row r="71">
      <c r="G71" s="161"/>
    </row>
    <row r="72">
      <c r="G72" s="161"/>
    </row>
    <row r="73">
      <c r="G73" s="161"/>
    </row>
    <row r="74">
      <c r="G74" s="161"/>
    </row>
    <row r="75">
      <c r="G75" s="161"/>
    </row>
    <row r="76">
      <c r="G76" s="161"/>
    </row>
    <row r="77">
      <c r="G77" s="161"/>
    </row>
    <row r="78">
      <c r="G78" s="161"/>
    </row>
    <row r="79">
      <c r="G79" s="161"/>
    </row>
    <row r="80">
      <c r="G80" s="161"/>
    </row>
    <row r="81">
      <c r="G81" s="161"/>
    </row>
    <row r="82">
      <c r="G82" s="161"/>
    </row>
    <row r="83">
      <c r="G83" s="161"/>
    </row>
    <row r="84">
      <c r="G84" s="161"/>
    </row>
    <row r="85">
      <c r="G85" s="161"/>
    </row>
    <row r="86">
      <c r="G86" s="161"/>
    </row>
    <row r="87">
      <c r="G87" s="161"/>
    </row>
    <row r="88">
      <c r="G88" s="161"/>
    </row>
    <row r="89">
      <c r="G89" s="161"/>
    </row>
    <row r="90">
      <c r="G90" s="161"/>
    </row>
    <row r="91">
      <c r="G91" s="161"/>
    </row>
    <row r="92">
      <c r="G92" s="161"/>
    </row>
    <row r="93">
      <c r="G93" s="161"/>
    </row>
    <row r="94">
      <c r="G94" s="161"/>
    </row>
    <row r="95">
      <c r="G95" s="161"/>
    </row>
    <row r="96">
      <c r="G96" s="161"/>
    </row>
    <row r="97">
      <c r="G97" s="161"/>
    </row>
    <row r="98">
      <c r="G98" s="161"/>
    </row>
    <row r="99">
      <c r="G99" s="161"/>
    </row>
    <row r="100">
      <c r="G100" s="161"/>
    </row>
    <row r="101">
      <c r="G101" s="161"/>
    </row>
    <row r="102">
      <c r="G102" s="161"/>
    </row>
    <row r="103">
      <c r="G103" s="161"/>
    </row>
    <row r="104">
      <c r="G104" s="161"/>
    </row>
    <row r="105">
      <c r="G105" s="161"/>
    </row>
    <row r="106">
      <c r="G106" s="161"/>
    </row>
    <row r="107">
      <c r="G107" s="161"/>
    </row>
    <row r="108">
      <c r="G108" s="161"/>
    </row>
    <row r="109">
      <c r="G109" s="161"/>
    </row>
    <row r="110">
      <c r="G110" s="161"/>
    </row>
    <row r="111">
      <c r="G111" s="161"/>
    </row>
    <row r="112">
      <c r="G112" s="161"/>
    </row>
    <row r="113">
      <c r="G113" s="161"/>
    </row>
    <row r="114">
      <c r="G114" s="161"/>
    </row>
    <row r="115">
      <c r="G115" s="161"/>
    </row>
    <row r="116">
      <c r="G116" s="161"/>
    </row>
    <row r="117">
      <c r="G117" s="161"/>
    </row>
    <row r="118">
      <c r="G118" s="161"/>
    </row>
    <row r="119">
      <c r="G119" s="161"/>
    </row>
    <row r="120">
      <c r="G120" s="161"/>
    </row>
    <row r="121">
      <c r="G121" s="161"/>
    </row>
    <row r="122">
      <c r="G122" s="161"/>
    </row>
    <row r="123">
      <c r="G123" s="161"/>
    </row>
    <row r="124">
      <c r="G124" s="161"/>
    </row>
    <row r="125">
      <c r="G125" s="161"/>
    </row>
    <row r="126">
      <c r="G126" s="161"/>
    </row>
    <row r="127">
      <c r="G127" s="161"/>
    </row>
    <row r="128">
      <c r="G128" s="161"/>
    </row>
    <row r="129">
      <c r="G129" s="161"/>
    </row>
    <row r="130">
      <c r="G130" s="161"/>
    </row>
    <row r="131">
      <c r="G131" s="161"/>
    </row>
    <row r="132">
      <c r="G132" s="161"/>
    </row>
    <row r="133">
      <c r="G133" s="161"/>
    </row>
    <row r="134">
      <c r="G134" s="161"/>
    </row>
    <row r="135">
      <c r="G135" s="161"/>
    </row>
    <row r="136">
      <c r="G136" s="161"/>
    </row>
    <row r="137">
      <c r="G137" s="161"/>
    </row>
    <row r="138">
      <c r="G138" s="161"/>
    </row>
    <row r="139">
      <c r="G139" s="161"/>
    </row>
    <row r="140">
      <c r="G140" s="161"/>
    </row>
    <row r="141">
      <c r="G141" s="161"/>
    </row>
    <row r="142">
      <c r="G142" s="161"/>
    </row>
    <row r="143">
      <c r="G143" s="161"/>
    </row>
    <row r="144">
      <c r="G144" s="161"/>
    </row>
    <row r="145">
      <c r="G145" s="161"/>
    </row>
    <row r="146">
      <c r="G146" s="161"/>
    </row>
    <row r="147">
      <c r="G147" s="161"/>
    </row>
    <row r="148">
      <c r="G148" s="161"/>
    </row>
    <row r="149">
      <c r="G149" s="161"/>
    </row>
    <row r="150">
      <c r="G150" s="161"/>
    </row>
    <row r="151">
      <c r="G151" s="161"/>
    </row>
    <row r="152">
      <c r="G152" s="161"/>
    </row>
    <row r="153">
      <c r="G153" s="161"/>
    </row>
    <row r="154">
      <c r="G154" s="161"/>
    </row>
    <row r="155">
      <c r="G155" s="161"/>
    </row>
    <row r="156">
      <c r="G156" s="161"/>
    </row>
    <row r="157">
      <c r="G157" s="161"/>
    </row>
    <row r="158">
      <c r="G158" s="161"/>
    </row>
    <row r="159">
      <c r="G159" s="161"/>
    </row>
    <row r="160">
      <c r="G160" s="161"/>
    </row>
    <row r="161">
      <c r="G161" s="161"/>
    </row>
    <row r="162">
      <c r="G162" s="161"/>
    </row>
    <row r="163">
      <c r="G163" s="161"/>
    </row>
    <row r="164">
      <c r="G164" s="161"/>
    </row>
    <row r="165">
      <c r="G165" s="161"/>
    </row>
    <row r="166">
      <c r="G166" s="161"/>
    </row>
    <row r="167">
      <c r="G167" s="161"/>
    </row>
    <row r="168">
      <c r="G168" s="161"/>
    </row>
    <row r="169">
      <c r="G169" s="161"/>
    </row>
    <row r="170">
      <c r="G170" s="161"/>
    </row>
    <row r="171">
      <c r="G171" s="161"/>
    </row>
    <row r="172">
      <c r="G172" s="161"/>
    </row>
    <row r="173">
      <c r="G173" s="161"/>
    </row>
    <row r="174">
      <c r="G174" s="161"/>
    </row>
    <row r="175">
      <c r="G175" s="161"/>
    </row>
    <row r="176">
      <c r="G176" s="161"/>
    </row>
    <row r="177">
      <c r="G177" s="161"/>
    </row>
    <row r="178">
      <c r="G178" s="161"/>
    </row>
    <row r="179">
      <c r="G179" s="161"/>
    </row>
    <row r="180">
      <c r="G180" s="161"/>
    </row>
    <row r="181">
      <c r="G181" s="161"/>
    </row>
    <row r="182">
      <c r="G182" s="161"/>
    </row>
    <row r="183">
      <c r="G183" s="161"/>
    </row>
    <row r="184">
      <c r="G184" s="161"/>
    </row>
    <row r="185">
      <c r="G185" s="161"/>
    </row>
    <row r="186">
      <c r="G186" s="161"/>
    </row>
    <row r="187">
      <c r="G187" s="161"/>
    </row>
    <row r="188">
      <c r="G188" s="161"/>
    </row>
    <row r="189">
      <c r="G189" s="161"/>
    </row>
    <row r="190">
      <c r="G190" s="161"/>
    </row>
    <row r="191">
      <c r="G191" s="161"/>
    </row>
    <row r="192">
      <c r="G192" s="161"/>
    </row>
    <row r="193">
      <c r="G193" s="161"/>
    </row>
    <row r="194">
      <c r="G194" s="161"/>
    </row>
    <row r="195">
      <c r="G195" s="161"/>
    </row>
    <row r="196">
      <c r="G196" s="161"/>
    </row>
    <row r="197">
      <c r="G197" s="161"/>
    </row>
    <row r="198">
      <c r="G198" s="161"/>
    </row>
    <row r="199">
      <c r="G199" s="161"/>
    </row>
    <row r="200">
      <c r="G200" s="161"/>
    </row>
    <row r="201">
      <c r="G201" s="161"/>
    </row>
    <row r="202">
      <c r="G202" s="161"/>
    </row>
    <row r="203">
      <c r="G203" s="161"/>
    </row>
    <row r="204">
      <c r="G204" s="161"/>
    </row>
    <row r="205">
      <c r="G205" s="161"/>
    </row>
    <row r="206">
      <c r="G206" s="161"/>
    </row>
    <row r="207">
      <c r="G207" s="161"/>
    </row>
    <row r="208">
      <c r="G208" s="161"/>
    </row>
    <row r="209">
      <c r="G209" s="161"/>
    </row>
    <row r="210">
      <c r="G210" s="161"/>
    </row>
    <row r="211">
      <c r="G211" s="161"/>
    </row>
    <row r="212">
      <c r="G212" s="161"/>
    </row>
    <row r="213">
      <c r="G213" s="161"/>
    </row>
    <row r="214">
      <c r="G214" s="161"/>
    </row>
    <row r="215">
      <c r="G215" s="161"/>
    </row>
    <row r="216">
      <c r="G216" s="161"/>
    </row>
    <row r="217">
      <c r="G217" s="161"/>
    </row>
    <row r="218">
      <c r="G218" s="161"/>
    </row>
    <row r="219">
      <c r="G219" s="161"/>
    </row>
    <row r="220">
      <c r="G220" s="161"/>
    </row>
    <row r="221">
      <c r="G221" s="161"/>
    </row>
    <row r="222">
      <c r="G222" s="161"/>
    </row>
    <row r="223">
      <c r="G223" s="161"/>
    </row>
    <row r="224">
      <c r="G224" s="161"/>
    </row>
    <row r="225">
      <c r="G225" s="161"/>
    </row>
    <row r="226">
      <c r="G226" s="161"/>
    </row>
    <row r="227">
      <c r="G227" s="161"/>
    </row>
    <row r="228">
      <c r="G228" s="161"/>
    </row>
    <row r="229">
      <c r="G229" s="161"/>
    </row>
    <row r="230">
      <c r="G230" s="161"/>
    </row>
    <row r="231">
      <c r="G231" s="161"/>
    </row>
    <row r="232">
      <c r="G232" s="161"/>
    </row>
    <row r="233">
      <c r="G233" s="161"/>
    </row>
    <row r="234">
      <c r="G234" s="161"/>
    </row>
    <row r="235">
      <c r="G235" s="161"/>
    </row>
    <row r="236">
      <c r="G236" s="161"/>
    </row>
    <row r="237">
      <c r="G237" s="161"/>
    </row>
    <row r="238">
      <c r="G238" s="161"/>
    </row>
    <row r="239">
      <c r="G239" s="161"/>
    </row>
    <row r="240">
      <c r="G240" s="161"/>
    </row>
    <row r="241">
      <c r="G241" s="161"/>
    </row>
    <row r="242">
      <c r="G242" s="161"/>
    </row>
    <row r="243">
      <c r="G243" s="161"/>
    </row>
    <row r="244">
      <c r="G244" s="161"/>
    </row>
    <row r="245">
      <c r="G245" s="161"/>
    </row>
    <row r="246">
      <c r="G246" s="161"/>
    </row>
    <row r="247">
      <c r="G247" s="161"/>
    </row>
    <row r="248">
      <c r="G248" s="161"/>
    </row>
    <row r="249">
      <c r="G249" s="161"/>
    </row>
    <row r="250">
      <c r="G250" s="161"/>
    </row>
    <row r="251">
      <c r="G251" s="161"/>
    </row>
    <row r="252">
      <c r="G252" s="161"/>
    </row>
    <row r="253">
      <c r="G253" s="161"/>
    </row>
    <row r="254">
      <c r="G254" s="161"/>
    </row>
    <row r="255">
      <c r="G255" s="161"/>
    </row>
    <row r="256">
      <c r="G256" s="161"/>
    </row>
    <row r="257">
      <c r="G257" s="161"/>
    </row>
    <row r="258">
      <c r="G258" s="161"/>
    </row>
    <row r="259">
      <c r="G259" s="161"/>
    </row>
    <row r="260">
      <c r="G260" s="161"/>
    </row>
    <row r="261">
      <c r="G261" s="161"/>
    </row>
    <row r="262">
      <c r="G262" s="161"/>
    </row>
    <row r="263">
      <c r="G263" s="161"/>
    </row>
    <row r="264">
      <c r="G264" s="161"/>
    </row>
    <row r="265">
      <c r="G265" s="161"/>
    </row>
    <row r="266">
      <c r="G266" s="161"/>
    </row>
    <row r="267">
      <c r="G267" s="161"/>
    </row>
    <row r="268">
      <c r="G268" s="161"/>
    </row>
    <row r="269">
      <c r="G269" s="161"/>
    </row>
    <row r="270">
      <c r="G270" s="161"/>
    </row>
    <row r="271">
      <c r="G271" s="161"/>
    </row>
    <row r="272">
      <c r="G272" s="161"/>
    </row>
    <row r="273">
      <c r="G273" s="161"/>
    </row>
    <row r="274">
      <c r="G274" s="161"/>
    </row>
    <row r="275">
      <c r="G275" s="161"/>
    </row>
    <row r="276">
      <c r="G276" s="161"/>
    </row>
    <row r="277">
      <c r="G277" s="161"/>
    </row>
    <row r="278">
      <c r="G278" s="161"/>
    </row>
    <row r="279">
      <c r="G279" s="161"/>
    </row>
    <row r="280">
      <c r="G280" s="161"/>
    </row>
    <row r="281">
      <c r="G281" s="161"/>
    </row>
    <row r="282">
      <c r="G282" s="161"/>
    </row>
    <row r="283">
      <c r="G283" s="161"/>
    </row>
    <row r="284">
      <c r="G284" s="161"/>
    </row>
    <row r="285">
      <c r="G285" s="161"/>
    </row>
    <row r="286">
      <c r="G286" s="161"/>
    </row>
    <row r="287">
      <c r="G287" s="161"/>
    </row>
    <row r="288">
      <c r="G288" s="161"/>
    </row>
    <row r="289">
      <c r="G289" s="161"/>
    </row>
    <row r="290">
      <c r="G290" s="161"/>
    </row>
    <row r="291">
      <c r="G291" s="161"/>
    </row>
    <row r="292">
      <c r="G292" s="161"/>
    </row>
    <row r="293">
      <c r="G293" s="161"/>
    </row>
    <row r="294">
      <c r="G294" s="161"/>
    </row>
    <row r="295">
      <c r="G295" s="161"/>
    </row>
    <row r="296">
      <c r="G296" s="161"/>
    </row>
    <row r="297">
      <c r="G297" s="161"/>
    </row>
    <row r="298">
      <c r="G298" s="161"/>
    </row>
    <row r="299">
      <c r="G299" s="161"/>
    </row>
    <row r="300">
      <c r="G300" s="161"/>
    </row>
    <row r="301">
      <c r="G301" s="161"/>
    </row>
    <row r="302">
      <c r="G302" s="161"/>
    </row>
    <row r="303">
      <c r="G303" s="161"/>
    </row>
    <row r="304">
      <c r="G304" s="161"/>
    </row>
    <row r="305">
      <c r="G305" s="161"/>
    </row>
    <row r="306">
      <c r="G306" s="161"/>
    </row>
    <row r="307">
      <c r="G307" s="161"/>
    </row>
    <row r="308">
      <c r="G308" s="161"/>
    </row>
    <row r="309">
      <c r="G309" s="161"/>
    </row>
    <row r="310">
      <c r="G310" s="161"/>
    </row>
    <row r="311">
      <c r="G311" s="161"/>
    </row>
    <row r="312">
      <c r="G312" s="161"/>
    </row>
    <row r="313">
      <c r="G313" s="161"/>
    </row>
    <row r="314">
      <c r="G314" s="161"/>
    </row>
    <row r="315">
      <c r="G315" s="161"/>
    </row>
    <row r="316">
      <c r="G316" s="161"/>
    </row>
    <row r="317">
      <c r="G317" s="161"/>
    </row>
    <row r="318">
      <c r="G318" s="161"/>
    </row>
    <row r="319">
      <c r="G319" s="161"/>
    </row>
    <row r="320">
      <c r="G320" s="161"/>
    </row>
    <row r="321">
      <c r="G321" s="161"/>
    </row>
    <row r="322">
      <c r="G322" s="161"/>
    </row>
    <row r="323">
      <c r="G323" s="161"/>
    </row>
    <row r="324">
      <c r="G324" s="161"/>
    </row>
    <row r="325">
      <c r="G325" s="161"/>
    </row>
    <row r="326">
      <c r="G326" s="161"/>
    </row>
    <row r="327">
      <c r="G327" s="161"/>
    </row>
    <row r="328">
      <c r="G328" s="161"/>
    </row>
    <row r="329">
      <c r="G329" s="161"/>
    </row>
    <row r="330">
      <c r="G330" s="161"/>
    </row>
    <row r="331">
      <c r="G331" s="161"/>
    </row>
    <row r="332">
      <c r="G332" s="161"/>
    </row>
    <row r="333">
      <c r="G333" s="161"/>
    </row>
    <row r="334">
      <c r="G334" s="161"/>
    </row>
    <row r="335">
      <c r="G335" s="161"/>
    </row>
    <row r="336">
      <c r="G336" s="161"/>
    </row>
    <row r="337">
      <c r="G337" s="161"/>
    </row>
    <row r="338">
      <c r="G338" s="161"/>
    </row>
    <row r="339">
      <c r="G339" s="161"/>
    </row>
    <row r="340">
      <c r="G340" s="161"/>
    </row>
    <row r="341">
      <c r="G341" s="161"/>
    </row>
    <row r="342">
      <c r="G342" s="161"/>
    </row>
    <row r="343">
      <c r="G343" s="161"/>
    </row>
    <row r="344">
      <c r="G344" s="161"/>
    </row>
    <row r="345">
      <c r="G345" s="161"/>
    </row>
    <row r="346">
      <c r="G346" s="161"/>
    </row>
    <row r="347">
      <c r="G347" s="161"/>
    </row>
    <row r="348">
      <c r="G348" s="161"/>
    </row>
    <row r="349">
      <c r="G349" s="161"/>
    </row>
    <row r="350">
      <c r="G350" s="161"/>
    </row>
    <row r="351">
      <c r="G351" s="161"/>
    </row>
    <row r="352">
      <c r="G352" s="161"/>
    </row>
    <row r="353">
      <c r="G353" s="161"/>
    </row>
    <row r="354">
      <c r="G354" s="161"/>
    </row>
    <row r="355">
      <c r="G355" s="161"/>
    </row>
    <row r="356">
      <c r="G356" s="161"/>
    </row>
    <row r="357">
      <c r="G357" s="161"/>
    </row>
    <row r="358">
      <c r="G358" s="161"/>
    </row>
    <row r="359">
      <c r="G359" s="161"/>
    </row>
    <row r="360">
      <c r="G360" s="161"/>
    </row>
    <row r="361">
      <c r="G361" s="161"/>
    </row>
    <row r="362">
      <c r="G362" s="161"/>
    </row>
    <row r="363">
      <c r="G363" s="161"/>
    </row>
    <row r="364">
      <c r="G364" s="161"/>
    </row>
    <row r="365">
      <c r="G365" s="161"/>
    </row>
    <row r="366">
      <c r="G366" s="161"/>
    </row>
    <row r="367">
      <c r="G367" s="161"/>
    </row>
    <row r="368">
      <c r="G368" s="161"/>
    </row>
    <row r="369">
      <c r="G369" s="161"/>
    </row>
    <row r="370">
      <c r="G370" s="161"/>
    </row>
    <row r="371">
      <c r="G371" s="161"/>
    </row>
    <row r="372">
      <c r="G372" s="161"/>
    </row>
    <row r="373">
      <c r="G373" s="161"/>
    </row>
    <row r="374">
      <c r="G374" s="161"/>
    </row>
    <row r="375">
      <c r="G375" s="161"/>
    </row>
    <row r="376">
      <c r="G376" s="161"/>
    </row>
    <row r="377">
      <c r="G377" s="161"/>
    </row>
    <row r="378">
      <c r="G378" s="161"/>
    </row>
    <row r="379">
      <c r="G379" s="161"/>
    </row>
    <row r="380">
      <c r="G380" s="161"/>
    </row>
    <row r="381">
      <c r="G381" s="161"/>
    </row>
    <row r="382">
      <c r="G382" s="161"/>
    </row>
    <row r="383">
      <c r="G383" s="161"/>
    </row>
    <row r="384">
      <c r="G384" s="161"/>
    </row>
    <row r="385">
      <c r="G385" s="161"/>
    </row>
    <row r="386">
      <c r="G386" s="161"/>
    </row>
    <row r="387">
      <c r="G387" s="161"/>
    </row>
    <row r="388">
      <c r="G388" s="161"/>
    </row>
    <row r="389">
      <c r="G389" s="161"/>
    </row>
    <row r="390">
      <c r="G390" s="161"/>
    </row>
    <row r="391">
      <c r="G391" s="161"/>
    </row>
    <row r="392">
      <c r="G392" s="161"/>
    </row>
    <row r="393">
      <c r="G393" s="161"/>
    </row>
    <row r="394">
      <c r="G394" s="161"/>
    </row>
    <row r="395">
      <c r="G395" s="161"/>
    </row>
    <row r="396">
      <c r="G396" s="161"/>
    </row>
    <row r="397">
      <c r="G397" s="161"/>
    </row>
    <row r="398">
      <c r="G398" s="161"/>
    </row>
    <row r="399">
      <c r="G399" s="161"/>
    </row>
    <row r="400">
      <c r="G400" s="161"/>
    </row>
    <row r="401">
      <c r="G401" s="161"/>
    </row>
    <row r="402">
      <c r="G402" s="161"/>
    </row>
    <row r="403">
      <c r="G403" s="161"/>
    </row>
    <row r="404">
      <c r="G404" s="161"/>
    </row>
    <row r="405">
      <c r="G405" s="161"/>
    </row>
    <row r="406">
      <c r="G406" s="161"/>
    </row>
    <row r="407">
      <c r="G407" s="161"/>
    </row>
    <row r="408">
      <c r="G408" s="161"/>
    </row>
    <row r="409">
      <c r="G409" s="161"/>
    </row>
    <row r="410">
      <c r="G410" s="161"/>
    </row>
    <row r="411">
      <c r="G411" s="161"/>
    </row>
    <row r="412">
      <c r="G412" s="161"/>
    </row>
    <row r="413">
      <c r="G413" s="161"/>
    </row>
    <row r="414">
      <c r="G414" s="161"/>
    </row>
    <row r="415">
      <c r="G415" s="161"/>
    </row>
    <row r="416">
      <c r="G416" s="161"/>
    </row>
    <row r="417">
      <c r="G417" s="161"/>
    </row>
    <row r="418">
      <c r="G418" s="161"/>
    </row>
    <row r="419">
      <c r="G419" s="161"/>
    </row>
    <row r="420">
      <c r="G420" s="161"/>
    </row>
    <row r="421">
      <c r="G421" s="161"/>
    </row>
    <row r="422">
      <c r="G422" s="161"/>
    </row>
    <row r="423">
      <c r="G423" s="161"/>
    </row>
    <row r="424">
      <c r="G424" s="161"/>
    </row>
    <row r="425">
      <c r="G425" s="161"/>
    </row>
    <row r="426">
      <c r="G426" s="161"/>
    </row>
    <row r="427">
      <c r="G427" s="161"/>
    </row>
    <row r="428">
      <c r="G428" s="161"/>
    </row>
    <row r="429">
      <c r="G429" s="161"/>
    </row>
    <row r="430">
      <c r="G430" s="161"/>
    </row>
    <row r="431">
      <c r="G431" s="161"/>
    </row>
    <row r="432">
      <c r="G432" s="161"/>
    </row>
    <row r="433">
      <c r="G433" s="161"/>
    </row>
    <row r="434">
      <c r="G434" s="161"/>
    </row>
    <row r="435">
      <c r="G435" s="161"/>
    </row>
    <row r="436">
      <c r="G436" s="161"/>
    </row>
    <row r="437">
      <c r="G437" s="161"/>
    </row>
    <row r="438">
      <c r="G438" s="161"/>
    </row>
    <row r="439">
      <c r="G439" s="161"/>
    </row>
    <row r="440">
      <c r="G440" s="161"/>
    </row>
    <row r="441">
      <c r="G441" s="161"/>
    </row>
    <row r="442">
      <c r="G442" s="161"/>
    </row>
    <row r="443">
      <c r="G443" s="161"/>
    </row>
    <row r="444">
      <c r="G444" s="161"/>
    </row>
    <row r="445">
      <c r="G445" s="161"/>
    </row>
    <row r="446">
      <c r="G446" s="161"/>
    </row>
    <row r="447">
      <c r="G447" s="161"/>
    </row>
    <row r="448">
      <c r="G448" s="161"/>
    </row>
    <row r="449">
      <c r="G449" s="161"/>
    </row>
    <row r="450">
      <c r="G450" s="161"/>
    </row>
    <row r="451">
      <c r="G451" s="161"/>
    </row>
    <row r="452">
      <c r="G452" s="161"/>
    </row>
    <row r="453">
      <c r="G453" s="161"/>
    </row>
    <row r="454">
      <c r="G454" s="161"/>
    </row>
    <row r="455">
      <c r="G455" s="161"/>
    </row>
    <row r="456">
      <c r="G456" s="161"/>
    </row>
    <row r="457">
      <c r="G457" s="161"/>
    </row>
    <row r="458">
      <c r="G458" s="161"/>
    </row>
    <row r="459">
      <c r="G459" s="161"/>
    </row>
    <row r="460">
      <c r="G460" s="161"/>
    </row>
    <row r="461">
      <c r="G461" s="161"/>
    </row>
    <row r="462">
      <c r="G462" s="161"/>
    </row>
    <row r="463">
      <c r="G463" s="161"/>
    </row>
    <row r="464">
      <c r="G464" s="161"/>
    </row>
    <row r="465">
      <c r="G465" s="161"/>
    </row>
    <row r="466">
      <c r="G466" s="161"/>
    </row>
    <row r="467">
      <c r="G467" s="161"/>
    </row>
    <row r="468">
      <c r="G468" s="161"/>
    </row>
    <row r="469">
      <c r="G469" s="161"/>
    </row>
    <row r="470">
      <c r="G470" s="161"/>
    </row>
    <row r="471">
      <c r="G471" s="161"/>
    </row>
    <row r="472">
      <c r="G472" s="161"/>
    </row>
    <row r="473">
      <c r="G473" s="161"/>
    </row>
    <row r="474">
      <c r="G474" s="161"/>
    </row>
    <row r="475">
      <c r="G475" s="161"/>
    </row>
    <row r="476">
      <c r="G476" s="161"/>
    </row>
    <row r="477">
      <c r="G477" s="161"/>
    </row>
    <row r="478">
      <c r="G478" s="161"/>
    </row>
    <row r="479">
      <c r="G479" s="161"/>
    </row>
    <row r="480">
      <c r="G480" s="161"/>
    </row>
    <row r="481">
      <c r="G481" s="161"/>
    </row>
    <row r="482">
      <c r="G482" s="161"/>
    </row>
    <row r="483">
      <c r="G483" s="161"/>
    </row>
    <row r="484">
      <c r="G484" s="161"/>
    </row>
    <row r="485">
      <c r="G485" s="161"/>
    </row>
    <row r="486">
      <c r="G486" s="161"/>
    </row>
    <row r="487">
      <c r="G487" s="161"/>
    </row>
    <row r="488">
      <c r="G488" s="161"/>
    </row>
    <row r="489">
      <c r="G489" s="161"/>
    </row>
    <row r="490">
      <c r="G490" s="161"/>
    </row>
    <row r="491">
      <c r="G491" s="161"/>
    </row>
    <row r="492">
      <c r="G492" s="161"/>
    </row>
    <row r="493">
      <c r="G493" s="161"/>
    </row>
    <row r="494">
      <c r="G494" s="161"/>
    </row>
    <row r="495">
      <c r="G495" s="161"/>
    </row>
    <row r="496">
      <c r="G496" s="161"/>
    </row>
    <row r="497">
      <c r="G497" s="161"/>
    </row>
    <row r="498">
      <c r="G498" s="161"/>
    </row>
    <row r="499">
      <c r="G499" s="161"/>
    </row>
    <row r="500">
      <c r="G500" s="161"/>
    </row>
    <row r="501">
      <c r="G501" s="161"/>
    </row>
    <row r="502">
      <c r="G502" s="161"/>
    </row>
    <row r="503">
      <c r="G503" s="161"/>
    </row>
    <row r="504">
      <c r="G504" s="161"/>
    </row>
    <row r="505">
      <c r="G505" s="161"/>
    </row>
    <row r="506">
      <c r="G506" s="161"/>
    </row>
    <row r="507">
      <c r="G507" s="161"/>
    </row>
    <row r="508">
      <c r="G508" s="161"/>
    </row>
    <row r="509">
      <c r="G509" s="161"/>
    </row>
    <row r="510">
      <c r="G510" s="161"/>
    </row>
    <row r="511">
      <c r="G511" s="161"/>
    </row>
    <row r="512">
      <c r="G512" s="161"/>
    </row>
    <row r="513">
      <c r="G513" s="161"/>
    </row>
    <row r="514">
      <c r="G514" s="161"/>
    </row>
    <row r="515">
      <c r="G515" s="161"/>
    </row>
    <row r="516">
      <c r="G516" s="161"/>
    </row>
    <row r="517">
      <c r="G517" s="161"/>
    </row>
    <row r="518">
      <c r="G518" s="161"/>
    </row>
    <row r="519">
      <c r="G519" s="161"/>
    </row>
    <row r="520">
      <c r="G520" s="161"/>
    </row>
    <row r="521">
      <c r="G521" s="161"/>
    </row>
    <row r="522">
      <c r="G522" s="161"/>
    </row>
    <row r="523">
      <c r="G523" s="161"/>
    </row>
    <row r="524">
      <c r="G524" s="161"/>
    </row>
    <row r="525">
      <c r="G525" s="161"/>
    </row>
    <row r="526">
      <c r="G526" s="161"/>
    </row>
    <row r="527">
      <c r="G527" s="161"/>
    </row>
    <row r="528">
      <c r="G528" s="161"/>
    </row>
    <row r="529">
      <c r="G529" s="161"/>
    </row>
    <row r="530">
      <c r="G530" s="161"/>
    </row>
    <row r="531">
      <c r="G531" s="161"/>
    </row>
    <row r="532">
      <c r="G532" s="161"/>
    </row>
    <row r="533">
      <c r="G533" s="161"/>
    </row>
    <row r="534">
      <c r="G534" s="161"/>
    </row>
    <row r="535">
      <c r="G535" s="161"/>
    </row>
    <row r="536">
      <c r="G536" s="161"/>
    </row>
    <row r="537">
      <c r="G537" s="161"/>
    </row>
    <row r="538">
      <c r="G538" s="161"/>
    </row>
    <row r="539">
      <c r="G539" s="161"/>
    </row>
    <row r="540">
      <c r="G540" s="161"/>
    </row>
    <row r="541">
      <c r="G541" s="161"/>
    </row>
    <row r="542">
      <c r="G542" s="161"/>
    </row>
    <row r="543">
      <c r="G543" s="161"/>
    </row>
    <row r="544">
      <c r="G544" s="161"/>
    </row>
    <row r="545">
      <c r="G545" s="161"/>
    </row>
    <row r="546">
      <c r="G546" s="161"/>
    </row>
    <row r="547">
      <c r="G547" s="161"/>
    </row>
    <row r="548">
      <c r="G548" s="161"/>
    </row>
    <row r="549">
      <c r="G549" s="161"/>
    </row>
    <row r="550">
      <c r="G550" s="161"/>
    </row>
    <row r="551">
      <c r="G551" s="161"/>
    </row>
    <row r="552">
      <c r="G552" s="161"/>
    </row>
    <row r="553">
      <c r="G553" s="161"/>
    </row>
    <row r="554">
      <c r="G554" s="161"/>
    </row>
    <row r="555">
      <c r="G555" s="161"/>
    </row>
    <row r="556">
      <c r="G556" s="161"/>
    </row>
    <row r="557">
      <c r="G557" s="161"/>
    </row>
    <row r="558">
      <c r="G558" s="161"/>
    </row>
    <row r="559">
      <c r="G559" s="161"/>
    </row>
    <row r="560">
      <c r="G560" s="161"/>
    </row>
    <row r="561">
      <c r="G561" s="161"/>
    </row>
    <row r="562">
      <c r="G562" s="161"/>
    </row>
    <row r="563">
      <c r="G563" s="161"/>
    </row>
    <row r="564">
      <c r="G564" s="161"/>
    </row>
    <row r="565">
      <c r="G565" s="161"/>
    </row>
    <row r="566">
      <c r="G566" s="161"/>
    </row>
    <row r="567">
      <c r="G567" s="161"/>
    </row>
    <row r="568">
      <c r="G568" s="161"/>
    </row>
    <row r="569">
      <c r="G569" s="161"/>
    </row>
    <row r="570">
      <c r="G570" s="161"/>
    </row>
    <row r="571">
      <c r="G571" s="161"/>
    </row>
    <row r="572">
      <c r="G572" s="161"/>
    </row>
    <row r="573">
      <c r="G573" s="161"/>
    </row>
    <row r="574">
      <c r="G574" s="161"/>
    </row>
    <row r="575">
      <c r="G575" s="161"/>
    </row>
    <row r="576">
      <c r="G576" s="161"/>
    </row>
    <row r="577">
      <c r="G577" s="161"/>
    </row>
    <row r="578">
      <c r="G578" s="161"/>
    </row>
    <row r="579">
      <c r="G579" s="161"/>
    </row>
    <row r="580">
      <c r="G580" s="161"/>
    </row>
    <row r="581">
      <c r="G581" s="161"/>
    </row>
    <row r="582">
      <c r="G582" s="161"/>
    </row>
    <row r="583">
      <c r="G583" s="161"/>
    </row>
    <row r="584">
      <c r="G584" s="161"/>
    </row>
    <row r="585">
      <c r="G585" s="161"/>
    </row>
    <row r="586">
      <c r="G586" s="161"/>
    </row>
    <row r="587">
      <c r="G587" s="161"/>
    </row>
    <row r="588">
      <c r="G588" s="161"/>
    </row>
    <row r="589">
      <c r="G589" s="161"/>
    </row>
    <row r="590">
      <c r="G590" s="161"/>
    </row>
    <row r="591">
      <c r="G591" s="161"/>
    </row>
    <row r="592">
      <c r="G592" s="161"/>
    </row>
    <row r="593">
      <c r="G593" s="161"/>
    </row>
    <row r="594">
      <c r="G594" s="161"/>
    </row>
    <row r="595">
      <c r="G595" s="161"/>
    </row>
    <row r="596">
      <c r="G596" s="161"/>
    </row>
    <row r="597">
      <c r="G597" s="161"/>
    </row>
    <row r="598">
      <c r="G598" s="161"/>
    </row>
    <row r="599">
      <c r="G599" s="161"/>
    </row>
    <row r="600">
      <c r="G600" s="161"/>
    </row>
    <row r="601">
      <c r="G601" s="161"/>
    </row>
    <row r="602">
      <c r="G602" s="161"/>
    </row>
    <row r="603">
      <c r="G603" s="161"/>
    </row>
    <row r="604">
      <c r="G604" s="161"/>
    </row>
    <row r="605">
      <c r="G605" s="161"/>
    </row>
    <row r="606">
      <c r="G606" s="161"/>
    </row>
    <row r="607">
      <c r="G607" s="161"/>
    </row>
    <row r="608">
      <c r="G608" s="161"/>
    </row>
    <row r="609">
      <c r="G609" s="161"/>
    </row>
    <row r="610">
      <c r="G610" s="161"/>
    </row>
    <row r="611">
      <c r="G611" s="161"/>
    </row>
    <row r="612">
      <c r="G612" s="161"/>
    </row>
    <row r="613">
      <c r="G613" s="161"/>
    </row>
    <row r="614">
      <c r="G614" s="161"/>
    </row>
    <row r="615">
      <c r="G615" s="161"/>
    </row>
    <row r="616">
      <c r="G616" s="161"/>
    </row>
    <row r="617">
      <c r="G617" s="161"/>
    </row>
    <row r="618">
      <c r="G618" s="161"/>
    </row>
    <row r="619">
      <c r="G619" s="161"/>
    </row>
    <row r="620">
      <c r="G620" s="161"/>
    </row>
    <row r="621">
      <c r="G621" s="161"/>
    </row>
    <row r="622">
      <c r="G622" s="161"/>
    </row>
    <row r="623">
      <c r="G623" s="161"/>
    </row>
    <row r="624">
      <c r="G624" s="161"/>
    </row>
    <row r="625">
      <c r="G625" s="161"/>
    </row>
    <row r="626">
      <c r="G626" s="161"/>
    </row>
    <row r="627">
      <c r="G627" s="161"/>
    </row>
    <row r="628">
      <c r="G628" s="161"/>
    </row>
    <row r="629">
      <c r="G629" s="161"/>
    </row>
    <row r="630">
      <c r="G630" s="161"/>
    </row>
    <row r="631">
      <c r="G631" s="161"/>
    </row>
    <row r="632">
      <c r="G632" s="161"/>
    </row>
    <row r="633">
      <c r="G633" s="161"/>
    </row>
    <row r="634">
      <c r="G634" s="161"/>
    </row>
    <row r="635">
      <c r="G635" s="161"/>
    </row>
    <row r="636">
      <c r="G636" s="161"/>
    </row>
    <row r="637">
      <c r="G637" s="161"/>
    </row>
    <row r="638">
      <c r="G638" s="161"/>
    </row>
    <row r="639">
      <c r="G639" s="161"/>
    </row>
    <row r="640">
      <c r="G640" s="161"/>
    </row>
    <row r="641">
      <c r="G641" s="161"/>
    </row>
    <row r="642">
      <c r="G642" s="161"/>
    </row>
    <row r="643">
      <c r="G643" s="161"/>
    </row>
    <row r="644">
      <c r="G644" s="161"/>
    </row>
    <row r="645">
      <c r="G645" s="161"/>
    </row>
    <row r="646">
      <c r="G646" s="161"/>
    </row>
    <row r="647">
      <c r="G647" s="161"/>
    </row>
    <row r="648">
      <c r="G648" s="161"/>
    </row>
    <row r="649">
      <c r="G649" s="161"/>
    </row>
    <row r="650">
      <c r="G650" s="161"/>
    </row>
    <row r="651">
      <c r="G651" s="161"/>
    </row>
    <row r="652">
      <c r="G652" s="161"/>
    </row>
    <row r="653">
      <c r="G653" s="161"/>
    </row>
    <row r="654">
      <c r="G654" s="161"/>
    </row>
    <row r="655">
      <c r="G655" s="161"/>
    </row>
    <row r="656">
      <c r="G656" s="161"/>
    </row>
    <row r="657">
      <c r="G657" s="161"/>
    </row>
    <row r="658">
      <c r="G658" s="161"/>
    </row>
    <row r="659">
      <c r="G659" s="161"/>
    </row>
    <row r="660">
      <c r="G660" s="161"/>
    </row>
    <row r="661">
      <c r="G661" s="161"/>
    </row>
    <row r="662">
      <c r="G662" s="161"/>
    </row>
    <row r="663">
      <c r="G663" s="161"/>
    </row>
    <row r="664">
      <c r="G664" s="161"/>
    </row>
    <row r="665">
      <c r="G665" s="161"/>
    </row>
    <row r="666">
      <c r="G666" s="161"/>
    </row>
    <row r="667">
      <c r="G667" s="161"/>
    </row>
    <row r="668">
      <c r="G668" s="161"/>
    </row>
    <row r="669">
      <c r="G669" s="161"/>
    </row>
    <row r="670">
      <c r="G670" s="161"/>
    </row>
    <row r="671">
      <c r="G671" s="161"/>
    </row>
    <row r="672">
      <c r="G672" s="161"/>
    </row>
    <row r="673">
      <c r="G673" s="161"/>
    </row>
    <row r="674">
      <c r="G674" s="161"/>
    </row>
    <row r="675">
      <c r="G675" s="161"/>
    </row>
    <row r="676">
      <c r="G676" s="161"/>
    </row>
    <row r="677">
      <c r="G677" s="161"/>
    </row>
    <row r="678">
      <c r="G678" s="161"/>
    </row>
    <row r="679">
      <c r="G679" s="161"/>
    </row>
    <row r="680">
      <c r="G680" s="161"/>
    </row>
    <row r="681">
      <c r="G681" s="161"/>
    </row>
    <row r="682">
      <c r="G682" s="161"/>
    </row>
    <row r="683">
      <c r="G683" s="161"/>
    </row>
    <row r="684">
      <c r="G684" s="161"/>
    </row>
    <row r="685">
      <c r="G685" s="161"/>
    </row>
    <row r="686">
      <c r="G686" s="161"/>
    </row>
    <row r="687">
      <c r="G687" s="161"/>
    </row>
    <row r="688">
      <c r="G688" s="161"/>
    </row>
    <row r="689">
      <c r="G689" s="161"/>
    </row>
    <row r="690">
      <c r="G690" s="161"/>
    </row>
    <row r="691">
      <c r="G691" s="161"/>
    </row>
    <row r="692">
      <c r="G692" s="161"/>
    </row>
    <row r="693">
      <c r="G693" s="161"/>
    </row>
    <row r="694">
      <c r="G694" s="161"/>
    </row>
    <row r="695">
      <c r="G695" s="161"/>
    </row>
    <row r="696">
      <c r="G696" s="161"/>
    </row>
    <row r="697">
      <c r="G697" s="161"/>
    </row>
    <row r="698">
      <c r="G698" s="161"/>
    </row>
    <row r="699">
      <c r="G699" s="161"/>
    </row>
    <row r="700">
      <c r="G700" s="161"/>
    </row>
    <row r="701">
      <c r="G701" s="161"/>
    </row>
    <row r="702">
      <c r="G702" s="161"/>
    </row>
    <row r="703">
      <c r="G703" s="161"/>
    </row>
    <row r="704">
      <c r="G704" s="161"/>
    </row>
    <row r="705">
      <c r="G705" s="161"/>
    </row>
    <row r="706">
      <c r="G706" s="161"/>
    </row>
    <row r="707">
      <c r="G707" s="161"/>
    </row>
    <row r="708">
      <c r="G708" s="161"/>
    </row>
    <row r="709">
      <c r="G709" s="161"/>
    </row>
    <row r="710">
      <c r="G710" s="161"/>
    </row>
    <row r="711">
      <c r="G711" s="161"/>
    </row>
    <row r="712">
      <c r="G712" s="161"/>
    </row>
    <row r="713">
      <c r="G713" s="161"/>
    </row>
    <row r="714">
      <c r="G714" s="161"/>
    </row>
    <row r="715">
      <c r="G715" s="161"/>
    </row>
    <row r="716">
      <c r="G716" s="161"/>
    </row>
    <row r="717">
      <c r="G717" s="161"/>
    </row>
    <row r="718">
      <c r="G718" s="161"/>
    </row>
    <row r="719">
      <c r="G719" s="161"/>
    </row>
    <row r="720">
      <c r="G720" s="161"/>
    </row>
    <row r="721">
      <c r="G721" s="161"/>
    </row>
    <row r="722">
      <c r="G722" s="161"/>
    </row>
    <row r="723">
      <c r="G723" s="161"/>
    </row>
    <row r="724">
      <c r="G724" s="161"/>
    </row>
    <row r="725">
      <c r="G725" s="161"/>
    </row>
    <row r="726">
      <c r="G726" s="161"/>
    </row>
    <row r="727">
      <c r="G727" s="161"/>
    </row>
    <row r="728">
      <c r="G728" s="161"/>
    </row>
    <row r="729">
      <c r="G729" s="161"/>
    </row>
    <row r="730">
      <c r="G730" s="161"/>
    </row>
    <row r="731">
      <c r="G731" s="161"/>
    </row>
    <row r="732">
      <c r="G732" s="161"/>
    </row>
    <row r="733">
      <c r="G733" s="161"/>
    </row>
    <row r="734">
      <c r="G734" s="161"/>
    </row>
    <row r="735">
      <c r="G735" s="161"/>
    </row>
    <row r="736">
      <c r="G736" s="161"/>
    </row>
    <row r="737">
      <c r="G737" s="161"/>
    </row>
    <row r="738">
      <c r="G738" s="161"/>
    </row>
    <row r="739">
      <c r="G739" s="161"/>
    </row>
    <row r="740">
      <c r="G740" s="161"/>
    </row>
    <row r="741">
      <c r="G741" s="161"/>
    </row>
    <row r="742">
      <c r="G742" s="161"/>
    </row>
    <row r="743">
      <c r="G743" s="161"/>
    </row>
    <row r="744">
      <c r="G744" s="161"/>
    </row>
    <row r="745">
      <c r="G745" s="161"/>
    </row>
    <row r="746">
      <c r="G746" s="161"/>
    </row>
    <row r="747">
      <c r="G747" s="161"/>
    </row>
    <row r="748">
      <c r="G748" s="161"/>
    </row>
    <row r="749">
      <c r="G749" s="161"/>
    </row>
    <row r="750">
      <c r="G750" s="161"/>
    </row>
    <row r="751">
      <c r="G751" s="161"/>
    </row>
    <row r="752">
      <c r="G752" s="161"/>
    </row>
    <row r="753">
      <c r="G753" s="161"/>
    </row>
    <row r="754">
      <c r="G754" s="161"/>
    </row>
    <row r="755">
      <c r="G755" s="161"/>
    </row>
    <row r="756">
      <c r="G756" s="161"/>
    </row>
    <row r="757">
      <c r="G757" s="161"/>
    </row>
    <row r="758">
      <c r="G758" s="161"/>
    </row>
    <row r="759">
      <c r="G759" s="161"/>
    </row>
    <row r="760">
      <c r="G760" s="161"/>
    </row>
    <row r="761">
      <c r="G761" s="161"/>
    </row>
    <row r="762">
      <c r="G762" s="161"/>
    </row>
    <row r="763">
      <c r="G763" s="161"/>
    </row>
    <row r="764">
      <c r="G764" s="161"/>
    </row>
    <row r="765">
      <c r="G765" s="161"/>
    </row>
    <row r="766">
      <c r="G766" s="161"/>
    </row>
    <row r="767">
      <c r="G767" s="161"/>
    </row>
    <row r="768">
      <c r="G768" s="161"/>
    </row>
    <row r="769">
      <c r="G769" s="161"/>
    </row>
    <row r="770">
      <c r="G770" s="161"/>
    </row>
    <row r="771">
      <c r="G771" s="161"/>
    </row>
    <row r="772">
      <c r="G772" s="161"/>
    </row>
    <row r="773">
      <c r="G773" s="161"/>
    </row>
    <row r="774">
      <c r="G774" s="161"/>
    </row>
    <row r="775">
      <c r="G775" s="161"/>
    </row>
    <row r="776">
      <c r="G776" s="161"/>
    </row>
    <row r="777">
      <c r="G777" s="161"/>
    </row>
    <row r="778">
      <c r="G778" s="161"/>
    </row>
    <row r="779">
      <c r="G779" s="161"/>
    </row>
    <row r="780">
      <c r="G780" s="161"/>
    </row>
    <row r="781">
      <c r="G781" s="161"/>
    </row>
    <row r="782">
      <c r="G782" s="161"/>
    </row>
    <row r="783">
      <c r="G783" s="161"/>
    </row>
    <row r="784">
      <c r="G784" s="161"/>
    </row>
    <row r="785">
      <c r="G785" s="161"/>
    </row>
    <row r="786">
      <c r="G786" s="161"/>
    </row>
    <row r="787">
      <c r="G787" s="161"/>
    </row>
    <row r="788">
      <c r="G788" s="161"/>
    </row>
    <row r="789">
      <c r="G789" s="161"/>
    </row>
    <row r="790">
      <c r="G790" s="161"/>
    </row>
    <row r="791">
      <c r="G791" s="161"/>
    </row>
    <row r="792">
      <c r="G792" s="161"/>
    </row>
    <row r="793">
      <c r="G793" s="161"/>
    </row>
    <row r="794">
      <c r="G794" s="161"/>
    </row>
    <row r="795">
      <c r="G795" s="161"/>
    </row>
    <row r="796">
      <c r="G796" s="161"/>
    </row>
    <row r="797">
      <c r="G797" s="161"/>
    </row>
    <row r="798">
      <c r="G798" s="161"/>
    </row>
    <row r="799">
      <c r="G799" s="161"/>
    </row>
    <row r="800">
      <c r="G800" s="161"/>
    </row>
    <row r="801">
      <c r="G801" s="161"/>
    </row>
    <row r="802">
      <c r="G802" s="161"/>
    </row>
    <row r="803">
      <c r="G803" s="161"/>
    </row>
    <row r="804">
      <c r="G804" s="161"/>
    </row>
    <row r="805">
      <c r="G805" s="161"/>
    </row>
    <row r="806">
      <c r="G806" s="161"/>
    </row>
    <row r="807">
      <c r="G807" s="161"/>
    </row>
    <row r="808">
      <c r="G808" s="161"/>
    </row>
    <row r="809">
      <c r="G809" s="161"/>
    </row>
    <row r="810">
      <c r="G810" s="161"/>
    </row>
    <row r="811">
      <c r="G811" s="161"/>
    </row>
    <row r="812">
      <c r="G812" s="161"/>
    </row>
    <row r="813">
      <c r="G813" s="161"/>
    </row>
    <row r="814">
      <c r="G814" s="161"/>
    </row>
    <row r="815">
      <c r="G815" s="161"/>
    </row>
    <row r="816">
      <c r="G816" s="161"/>
    </row>
    <row r="817">
      <c r="G817" s="161"/>
    </row>
    <row r="818">
      <c r="G818" s="161"/>
    </row>
    <row r="819">
      <c r="G819" s="161"/>
    </row>
    <row r="820">
      <c r="G820" s="161"/>
    </row>
    <row r="821">
      <c r="G821" s="161"/>
    </row>
    <row r="822">
      <c r="G822" s="161"/>
    </row>
    <row r="823">
      <c r="G823" s="161"/>
    </row>
    <row r="824">
      <c r="G824" s="161"/>
    </row>
    <row r="825">
      <c r="G825" s="161"/>
    </row>
    <row r="826">
      <c r="G826" s="161"/>
    </row>
    <row r="827">
      <c r="G827" s="161"/>
    </row>
    <row r="828">
      <c r="G828" s="161"/>
    </row>
    <row r="829">
      <c r="G829" s="161"/>
    </row>
    <row r="830">
      <c r="G830" s="161"/>
    </row>
    <row r="831">
      <c r="G831" s="161"/>
    </row>
    <row r="832">
      <c r="G832" s="161"/>
    </row>
    <row r="833">
      <c r="G833" s="161"/>
    </row>
    <row r="834">
      <c r="G834" s="161"/>
    </row>
    <row r="835">
      <c r="G835" s="161"/>
    </row>
    <row r="836">
      <c r="G836" s="161"/>
    </row>
    <row r="837">
      <c r="G837" s="161"/>
    </row>
    <row r="838">
      <c r="G838" s="161"/>
    </row>
    <row r="839">
      <c r="G839" s="161"/>
    </row>
    <row r="840">
      <c r="G840" s="161"/>
    </row>
    <row r="841">
      <c r="G841" s="161"/>
    </row>
    <row r="842">
      <c r="G842" s="161"/>
    </row>
    <row r="843">
      <c r="G843" s="161"/>
    </row>
    <row r="844">
      <c r="G844" s="161"/>
    </row>
    <row r="845">
      <c r="G845" s="161"/>
    </row>
    <row r="846">
      <c r="G846" s="161"/>
    </row>
    <row r="847">
      <c r="G847" s="161"/>
    </row>
    <row r="848">
      <c r="G848" s="161"/>
    </row>
    <row r="849">
      <c r="G849" s="161"/>
    </row>
    <row r="850">
      <c r="G850" s="161"/>
    </row>
    <row r="851">
      <c r="G851" s="161"/>
    </row>
    <row r="852">
      <c r="G852" s="161"/>
    </row>
    <row r="853">
      <c r="G853" s="161"/>
    </row>
    <row r="854">
      <c r="G854" s="161"/>
    </row>
    <row r="855">
      <c r="G855" s="161"/>
    </row>
    <row r="856">
      <c r="G856" s="161"/>
    </row>
    <row r="857">
      <c r="G857" s="161"/>
    </row>
    <row r="858">
      <c r="G858" s="161"/>
    </row>
    <row r="859">
      <c r="G859" s="161"/>
    </row>
    <row r="860">
      <c r="G860" s="161"/>
    </row>
    <row r="861">
      <c r="G861" s="161"/>
    </row>
    <row r="862">
      <c r="G862" s="161"/>
    </row>
    <row r="863">
      <c r="G863" s="161"/>
    </row>
    <row r="864">
      <c r="G864" s="161"/>
    </row>
    <row r="865">
      <c r="G865" s="161"/>
    </row>
    <row r="866">
      <c r="G866" s="161"/>
    </row>
    <row r="867">
      <c r="G867" s="161"/>
    </row>
    <row r="868">
      <c r="G868" s="161"/>
    </row>
    <row r="869">
      <c r="G869" s="161"/>
    </row>
    <row r="870">
      <c r="G870" s="161"/>
    </row>
    <row r="871">
      <c r="G871" s="161"/>
    </row>
    <row r="872">
      <c r="G872" s="161"/>
    </row>
    <row r="873">
      <c r="G873" s="161"/>
    </row>
    <row r="874">
      <c r="G874" s="161"/>
    </row>
    <row r="875">
      <c r="G875" s="161"/>
    </row>
    <row r="876">
      <c r="G876" s="161"/>
    </row>
    <row r="877">
      <c r="G877" s="161"/>
    </row>
    <row r="878">
      <c r="G878" s="161"/>
    </row>
    <row r="879">
      <c r="G879" s="161"/>
    </row>
    <row r="880">
      <c r="G880" s="161"/>
    </row>
    <row r="881">
      <c r="G881" s="161"/>
    </row>
    <row r="882">
      <c r="G882" s="161"/>
    </row>
    <row r="883">
      <c r="G883" s="161"/>
    </row>
    <row r="884">
      <c r="G884" s="161"/>
    </row>
    <row r="885">
      <c r="G885" s="161"/>
    </row>
    <row r="886">
      <c r="G886" s="161"/>
    </row>
    <row r="887">
      <c r="G887" s="161"/>
    </row>
    <row r="888">
      <c r="G888" s="161"/>
    </row>
    <row r="889">
      <c r="G889" s="161"/>
    </row>
    <row r="890">
      <c r="G890" s="161"/>
    </row>
    <row r="891">
      <c r="G891" s="161"/>
    </row>
    <row r="892">
      <c r="G892" s="161"/>
    </row>
    <row r="893">
      <c r="G893" s="161"/>
    </row>
    <row r="894">
      <c r="G894" s="161"/>
    </row>
    <row r="895">
      <c r="G895" s="161"/>
    </row>
    <row r="896">
      <c r="G896" s="161"/>
    </row>
    <row r="897">
      <c r="G897" s="161"/>
    </row>
    <row r="898">
      <c r="G898" s="161"/>
    </row>
    <row r="899">
      <c r="G899" s="161"/>
    </row>
    <row r="900">
      <c r="G900" s="161"/>
    </row>
    <row r="901">
      <c r="G901" s="161"/>
    </row>
    <row r="902">
      <c r="G902" s="161"/>
    </row>
    <row r="903">
      <c r="G903" s="161"/>
    </row>
    <row r="904">
      <c r="G904" s="161"/>
    </row>
    <row r="905">
      <c r="G905" s="161"/>
    </row>
    <row r="906">
      <c r="G906" s="161"/>
    </row>
    <row r="907">
      <c r="G907" s="161"/>
    </row>
    <row r="908">
      <c r="G908" s="161"/>
    </row>
    <row r="909">
      <c r="G909" s="161"/>
    </row>
    <row r="910">
      <c r="G910" s="161"/>
    </row>
    <row r="911">
      <c r="G911" s="161"/>
    </row>
    <row r="912">
      <c r="G912" s="161"/>
    </row>
    <row r="913">
      <c r="G913" s="161"/>
    </row>
    <row r="914">
      <c r="G914" s="161"/>
    </row>
    <row r="915">
      <c r="G915" s="161"/>
    </row>
    <row r="916">
      <c r="G916" s="161"/>
    </row>
    <row r="917">
      <c r="G917" s="161"/>
    </row>
    <row r="918">
      <c r="G918" s="161"/>
    </row>
    <row r="919">
      <c r="G919" s="161"/>
    </row>
    <row r="920">
      <c r="G920" s="161"/>
    </row>
    <row r="921">
      <c r="G921" s="161"/>
    </row>
    <row r="922">
      <c r="G922" s="161"/>
    </row>
    <row r="923">
      <c r="G923" s="161"/>
    </row>
    <row r="924">
      <c r="G924" s="161"/>
    </row>
    <row r="925">
      <c r="G925" s="161"/>
    </row>
    <row r="926">
      <c r="G926" s="161"/>
    </row>
    <row r="927">
      <c r="G927" s="161"/>
    </row>
    <row r="928">
      <c r="G928" s="161"/>
    </row>
    <row r="929">
      <c r="G929" s="161"/>
    </row>
    <row r="930">
      <c r="G930" s="161"/>
    </row>
    <row r="931">
      <c r="G931" s="161"/>
    </row>
    <row r="932">
      <c r="G932" s="161"/>
    </row>
    <row r="933">
      <c r="G933" s="161"/>
    </row>
    <row r="934">
      <c r="G934" s="161"/>
    </row>
    <row r="935">
      <c r="G935" s="161"/>
    </row>
    <row r="936">
      <c r="G936" s="161"/>
    </row>
    <row r="937">
      <c r="G937" s="161"/>
    </row>
    <row r="938">
      <c r="G938" s="161"/>
    </row>
    <row r="939">
      <c r="G939" s="161"/>
    </row>
    <row r="940">
      <c r="G940" s="161"/>
    </row>
    <row r="941">
      <c r="G941" s="161"/>
    </row>
    <row r="942">
      <c r="G942" s="161"/>
    </row>
    <row r="943">
      <c r="G943" s="161"/>
    </row>
    <row r="944">
      <c r="G944" s="161"/>
    </row>
    <row r="945">
      <c r="G945" s="161"/>
    </row>
    <row r="946">
      <c r="G946" s="161"/>
    </row>
    <row r="947">
      <c r="G947" s="161"/>
    </row>
    <row r="948">
      <c r="G948" s="161"/>
    </row>
    <row r="949">
      <c r="G949" s="161"/>
    </row>
    <row r="950">
      <c r="G950" s="161"/>
    </row>
    <row r="951">
      <c r="G951" s="161"/>
    </row>
    <row r="952">
      <c r="G952" s="161"/>
    </row>
    <row r="953">
      <c r="G953" s="161"/>
    </row>
    <row r="954">
      <c r="G954" s="161"/>
    </row>
    <row r="955">
      <c r="G955" s="161"/>
    </row>
    <row r="956">
      <c r="G956" s="161"/>
    </row>
    <row r="957">
      <c r="G957" s="161"/>
    </row>
    <row r="958">
      <c r="G958" s="161"/>
    </row>
    <row r="959">
      <c r="G959" s="161"/>
    </row>
    <row r="960">
      <c r="G960" s="161"/>
    </row>
    <row r="961">
      <c r="G961" s="161"/>
    </row>
    <row r="962">
      <c r="G962" s="161"/>
    </row>
    <row r="963">
      <c r="G963" s="161"/>
    </row>
    <row r="964">
      <c r="G964" s="161"/>
    </row>
    <row r="965">
      <c r="G965" s="161"/>
    </row>
    <row r="966">
      <c r="G966" s="161"/>
    </row>
    <row r="967">
      <c r="G967" s="161"/>
    </row>
    <row r="968">
      <c r="G968" s="161"/>
    </row>
    <row r="969">
      <c r="G969" s="161"/>
    </row>
    <row r="970">
      <c r="G970" s="161"/>
    </row>
    <row r="971">
      <c r="G971" s="161"/>
    </row>
    <row r="972">
      <c r="G972" s="161"/>
    </row>
    <row r="973">
      <c r="G973" s="161"/>
    </row>
    <row r="974">
      <c r="G974" s="161"/>
    </row>
    <row r="975">
      <c r="G975" s="161"/>
    </row>
    <row r="976">
      <c r="G976" s="161"/>
    </row>
    <row r="977">
      <c r="G977" s="161"/>
    </row>
    <row r="978">
      <c r="G978" s="161"/>
    </row>
    <row r="979">
      <c r="G979" s="161"/>
    </row>
    <row r="980">
      <c r="G980" s="161"/>
    </row>
    <row r="981">
      <c r="G981" s="161"/>
    </row>
    <row r="982">
      <c r="G982" s="161"/>
    </row>
    <row r="983">
      <c r="G983" s="161"/>
    </row>
    <row r="984">
      <c r="G984" s="161"/>
    </row>
    <row r="985">
      <c r="G985" s="161"/>
    </row>
    <row r="986">
      <c r="G986" s="161"/>
    </row>
    <row r="987">
      <c r="G987" s="161"/>
    </row>
    <row r="988">
      <c r="G988" s="161"/>
    </row>
    <row r="989">
      <c r="G989" s="161"/>
    </row>
    <row r="990">
      <c r="G990" s="161"/>
    </row>
    <row r="991">
      <c r="G991" s="161"/>
    </row>
    <row r="992">
      <c r="G992" s="161"/>
    </row>
    <row r="993">
      <c r="G993" s="161"/>
    </row>
    <row r="994">
      <c r="G994" s="161"/>
    </row>
    <row r="995">
      <c r="G995" s="161"/>
    </row>
    <row r="996">
      <c r="G996" s="161"/>
    </row>
    <row r="997">
      <c r="G997" s="161"/>
    </row>
    <row r="998">
      <c r="G998" s="161"/>
    </row>
    <row r="999">
      <c r="G999" s="161"/>
    </row>
    <row r="1000">
      <c r="G1000" s="161"/>
    </row>
    <row r="1001">
      <c r="G1001" s="161"/>
    </row>
    <row r="1002">
      <c r="G1002" s="161"/>
    </row>
    <row r="1003">
      <c r="G1003" s="161"/>
    </row>
  </sheetData>
  <mergeCells count="1">
    <mergeCell ref="H3:L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0"/>
    <col customWidth="1" min="2" max="2" width="14.5"/>
    <col customWidth="1" min="3" max="12" width="7.75"/>
    <col customWidth="1" hidden="1" min="13" max="13" width="7.75"/>
    <col customWidth="1" min="14" max="14" width="7.75"/>
    <col customWidth="1" min="15" max="19" width="17.75"/>
    <col customWidth="1" hidden="1" min="20" max="32" width="17.75"/>
  </cols>
  <sheetData>
    <row r="1">
      <c r="C1" s="1" t="s">
        <v>0</v>
      </c>
      <c r="F1" s="1" t="s">
        <v>1</v>
      </c>
      <c r="I1" s="2"/>
      <c r="J1" s="2"/>
      <c r="K1" s="2"/>
      <c r="L1" s="2"/>
      <c r="M1" s="2"/>
      <c r="N1" s="2"/>
    </row>
    <row r="2">
      <c r="A2" s="3" t="s">
        <v>2</v>
      </c>
      <c r="B2" s="4" t="s">
        <v>0</v>
      </c>
      <c r="C2" s="5" t="s">
        <v>3</v>
      </c>
      <c r="D2" s="6" t="s">
        <v>4</v>
      </c>
      <c r="E2" s="7" t="s">
        <v>5</v>
      </c>
      <c r="F2" s="5" t="s">
        <v>6</v>
      </c>
      <c r="G2" s="8" t="s">
        <v>7</v>
      </c>
      <c r="H2" s="7" t="s">
        <v>8</v>
      </c>
      <c r="I2" s="5" t="s">
        <v>9</v>
      </c>
      <c r="J2" s="9" t="s">
        <v>10</v>
      </c>
      <c r="K2" s="7" t="s">
        <v>11</v>
      </c>
      <c r="L2" s="10" t="s">
        <v>12</v>
      </c>
      <c r="M2" s="10" t="s">
        <v>13</v>
      </c>
      <c r="N2" s="10" t="s">
        <v>14</v>
      </c>
      <c r="O2" s="11">
        <v>1.0</v>
      </c>
      <c r="P2" s="3">
        <v>2.0</v>
      </c>
      <c r="Q2" s="3">
        <v>3.0</v>
      </c>
      <c r="R2" s="3">
        <v>4.0</v>
      </c>
      <c r="S2" s="3">
        <v>5.0</v>
      </c>
      <c r="T2" s="3">
        <v>6.0</v>
      </c>
      <c r="U2" s="3">
        <v>7.0</v>
      </c>
      <c r="V2" s="3">
        <v>8.0</v>
      </c>
      <c r="W2" s="3">
        <v>9.0</v>
      </c>
      <c r="X2" s="3">
        <v>10.0</v>
      </c>
      <c r="Y2" s="3">
        <v>11.0</v>
      </c>
      <c r="Z2" s="3">
        <v>12.0</v>
      </c>
      <c r="AA2" s="3">
        <v>13.0</v>
      </c>
      <c r="AB2" s="3">
        <v>14.0</v>
      </c>
      <c r="AC2" s="3">
        <v>15.0</v>
      </c>
      <c r="AD2" s="3">
        <v>16.0</v>
      </c>
      <c r="AE2" s="3">
        <v>17.0</v>
      </c>
      <c r="AF2" s="3">
        <v>18.0</v>
      </c>
    </row>
    <row r="3">
      <c r="A3" s="12">
        <v>2.0</v>
      </c>
      <c r="B3" s="13" t="s">
        <v>15</v>
      </c>
      <c r="C3" s="14">
        <v>333.0</v>
      </c>
      <c r="D3" s="15">
        <v>125.0</v>
      </c>
      <c r="E3" s="16">
        <v>45.0</v>
      </c>
      <c r="F3" s="14">
        <f>C3-D3-E3</f>
        <v>163</v>
      </c>
      <c r="G3" s="17">
        <f>C3*0.35</f>
        <v>116.55</v>
      </c>
      <c r="H3" s="33">
        <f>F3-G3</f>
        <v>46.45</v>
      </c>
      <c r="I3" s="18">
        <v>2.0</v>
      </c>
      <c r="J3" s="19">
        <v>4.0</v>
      </c>
      <c r="K3" s="20">
        <v>7.0</v>
      </c>
      <c r="L3" s="19">
        <v>50.0</v>
      </c>
      <c r="M3" s="34">
        <f>L3-H3</f>
        <v>3.55</v>
      </c>
      <c r="N3" s="22">
        <f>(G3+H3)/sum(G3,O4,P4,Q4,R4,S4,T4,U4,V4,W4)</f>
        <v>0.9786850796</v>
      </c>
      <c r="O3" s="23" t="s">
        <v>153</v>
      </c>
      <c r="P3" s="23" t="s">
        <v>154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>
      <c r="A4" s="25"/>
      <c r="B4" s="13"/>
      <c r="C4" s="14"/>
      <c r="D4" s="25"/>
      <c r="E4" s="26"/>
      <c r="F4" s="27"/>
      <c r="G4" s="17"/>
      <c r="H4" s="26"/>
      <c r="I4" s="18"/>
      <c r="J4" s="28"/>
      <c r="K4" s="29"/>
      <c r="L4" s="28"/>
      <c r="M4" s="28"/>
      <c r="N4" s="30"/>
      <c r="O4" s="31">
        <v>25.0</v>
      </c>
      <c r="P4" s="31">
        <v>25.0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>
      <c r="A5" s="12">
        <v>1.0</v>
      </c>
      <c r="B5" s="13" t="s">
        <v>18</v>
      </c>
      <c r="C5" s="14">
        <v>607.0</v>
      </c>
      <c r="D5" s="15">
        <v>125.0</v>
      </c>
      <c r="E5" s="16">
        <v>0.0</v>
      </c>
      <c r="F5" s="14">
        <f>C5-D5-E5</f>
        <v>482</v>
      </c>
      <c r="G5" s="17">
        <f>C5*0.35</f>
        <v>212.45</v>
      </c>
      <c r="H5" s="33">
        <f>F5-G5</f>
        <v>269.55</v>
      </c>
      <c r="I5" s="18">
        <v>5.0</v>
      </c>
      <c r="J5" s="19">
        <v>11.0</v>
      </c>
      <c r="K5" s="20">
        <v>12.0</v>
      </c>
      <c r="L5" s="28">
        <f>sum(O6:S6)</f>
        <v>275</v>
      </c>
      <c r="M5" s="34">
        <f>L5-H5</f>
        <v>5.45</v>
      </c>
      <c r="N5" s="22">
        <f>(G5+H5)/sum(G5,O6,P6,Q6,R6,S6,T6,U6,V6,W6)</f>
        <v>0.9888193661</v>
      </c>
      <c r="O5" s="23" t="s">
        <v>155</v>
      </c>
      <c r="P5" s="23" t="s">
        <v>34</v>
      </c>
      <c r="Q5" s="23" t="s">
        <v>156</v>
      </c>
      <c r="R5" s="23" t="s">
        <v>157</v>
      </c>
      <c r="S5" s="23" t="s">
        <v>158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>
      <c r="A6" s="25"/>
      <c r="B6" s="13"/>
      <c r="C6" s="14"/>
      <c r="D6" s="25"/>
      <c r="E6" s="26"/>
      <c r="F6" s="27"/>
      <c r="G6" s="17"/>
      <c r="H6" s="26"/>
      <c r="I6" s="18"/>
      <c r="J6" s="28"/>
      <c r="K6" s="29"/>
      <c r="L6" s="28"/>
      <c r="M6" s="28"/>
      <c r="N6" s="30"/>
      <c r="O6" s="31">
        <v>50.0</v>
      </c>
      <c r="P6" s="31">
        <v>50.0</v>
      </c>
      <c r="Q6" s="31">
        <v>75.0</v>
      </c>
      <c r="R6" s="31">
        <v>50.0</v>
      </c>
      <c r="S6" s="31">
        <v>50.0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>
      <c r="A7" s="25">
        <v>23.0</v>
      </c>
      <c r="B7" s="35" t="s">
        <v>24</v>
      </c>
      <c r="C7" s="14">
        <v>246.0</v>
      </c>
      <c r="D7" s="15">
        <v>125.0</v>
      </c>
      <c r="E7" s="16">
        <v>0.0</v>
      </c>
      <c r="F7" s="14">
        <f>C7-D7-E7</f>
        <v>121</v>
      </c>
      <c r="G7" s="17">
        <f>C7*0.35</f>
        <v>86.1</v>
      </c>
      <c r="H7" s="33">
        <f>F7-G7</f>
        <v>34.9</v>
      </c>
      <c r="I7" s="36">
        <v>2.0</v>
      </c>
      <c r="J7" s="19">
        <v>2.0</v>
      </c>
      <c r="K7" s="20">
        <v>2.0</v>
      </c>
      <c r="L7" s="21">
        <f>sum(O8:P8)</f>
        <v>50</v>
      </c>
      <c r="M7" s="34">
        <f>L7-H7</f>
        <v>15.1</v>
      </c>
      <c r="N7" s="22">
        <f>(G7+H7)/sum(G7,O8,P8,Q8,R8,S8,T8,U8,V8,W8)</f>
        <v>0.8890521675</v>
      </c>
      <c r="O7" s="23" t="s">
        <v>159</v>
      </c>
      <c r="P7" s="23" t="s">
        <v>160</v>
      </c>
      <c r="Q7" s="23" t="s">
        <v>161</v>
      </c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>
      <c r="A8" s="25"/>
      <c r="B8" s="13"/>
      <c r="C8" s="14"/>
      <c r="D8" s="25"/>
      <c r="E8" s="26"/>
      <c r="F8" s="27"/>
      <c r="G8" s="17"/>
      <c r="H8" s="26"/>
      <c r="I8" s="18"/>
      <c r="J8" s="28"/>
      <c r="K8" s="29"/>
      <c r="L8" s="28"/>
      <c r="M8" s="28"/>
      <c r="N8" s="30"/>
      <c r="O8" s="31">
        <v>25.0</v>
      </c>
      <c r="P8" s="31">
        <v>25.0</v>
      </c>
      <c r="Q8" s="31">
        <v>0.0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>
      <c r="A9" s="25">
        <v>28.0</v>
      </c>
      <c r="B9" s="13" t="s">
        <v>28</v>
      </c>
      <c r="C9" s="14">
        <v>358.0</v>
      </c>
      <c r="D9" s="15">
        <v>125.0</v>
      </c>
      <c r="E9" s="16">
        <v>0.0</v>
      </c>
      <c r="F9" s="14">
        <f>C9-D9-E9</f>
        <v>233</v>
      </c>
      <c r="G9" s="17">
        <f>C9*0.35</f>
        <v>125.3</v>
      </c>
      <c r="H9" s="33">
        <f>F9-G9</f>
        <v>107.7</v>
      </c>
      <c r="I9" s="18">
        <v>2.0</v>
      </c>
      <c r="J9" s="19">
        <v>4.0</v>
      </c>
      <c r="K9" s="20">
        <v>5.0</v>
      </c>
      <c r="L9" s="28">
        <f>sum(O10:P10)</f>
        <v>100</v>
      </c>
      <c r="M9" s="34">
        <f>L9-H9</f>
        <v>-7.7</v>
      </c>
      <c r="N9" s="22">
        <f>(G9+H9)/sum(G9,O10,P10,Q10,R10,S10,T10,U10,V10,W10)</f>
        <v>1.034176653</v>
      </c>
      <c r="O9" s="23" t="s">
        <v>162</v>
      </c>
      <c r="P9" s="23" t="s">
        <v>163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>
      <c r="A10" s="25"/>
      <c r="B10" s="13"/>
      <c r="C10" s="14"/>
      <c r="D10" s="25"/>
      <c r="E10" s="26"/>
      <c r="F10" s="27"/>
      <c r="G10" s="17"/>
      <c r="H10" s="26"/>
      <c r="I10" s="18"/>
      <c r="J10" s="28"/>
      <c r="K10" s="29"/>
      <c r="L10" s="28"/>
      <c r="M10" s="28"/>
      <c r="N10" s="30"/>
      <c r="O10" s="31">
        <v>50.0</v>
      </c>
      <c r="P10" s="31">
        <v>50.0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>
      <c r="A11" s="25">
        <v>6.0</v>
      </c>
      <c r="B11" s="37" t="s">
        <v>30</v>
      </c>
      <c r="C11" s="14">
        <v>388.0</v>
      </c>
      <c r="D11" s="15">
        <v>125.0</v>
      </c>
      <c r="E11" s="38">
        <v>75.0</v>
      </c>
      <c r="F11" s="14">
        <f>C11-D11-E11</f>
        <v>188</v>
      </c>
      <c r="G11" s="17">
        <f>C11*0.35</f>
        <v>135.8</v>
      </c>
      <c r="H11" s="33">
        <f>F11-G11</f>
        <v>52.2</v>
      </c>
      <c r="I11" s="18">
        <v>2.0</v>
      </c>
      <c r="J11" s="19">
        <v>2.0</v>
      </c>
      <c r="K11" s="20">
        <v>8.0</v>
      </c>
      <c r="L11" s="41">
        <f>sum(O12:P12)</f>
        <v>50</v>
      </c>
      <c r="M11" s="34">
        <f>L11-H11</f>
        <v>-2.2</v>
      </c>
      <c r="N11" s="22">
        <f>(G11+H11)/sum(G11,O12,P12,Q12,R12,S12,T12,U12,V12,W12)</f>
        <v>1.011840689</v>
      </c>
      <c r="O11" s="23" t="s">
        <v>164</v>
      </c>
      <c r="P11" s="23" t="s">
        <v>155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>
      <c r="A12" s="25"/>
      <c r="B12" s="13"/>
      <c r="C12" s="14"/>
      <c r="D12" s="25"/>
      <c r="E12" s="26"/>
      <c r="F12" s="27"/>
      <c r="G12" s="17"/>
      <c r="H12" s="26"/>
      <c r="I12" s="18"/>
      <c r="J12" s="28"/>
      <c r="K12" s="29"/>
      <c r="L12" s="28"/>
      <c r="M12" s="28"/>
      <c r="N12" s="30"/>
      <c r="O12" s="31">
        <v>25.0</v>
      </c>
      <c r="P12" s="31">
        <v>25.0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>
      <c r="A13" s="25">
        <v>7.0</v>
      </c>
      <c r="B13" s="183" t="s">
        <v>165</v>
      </c>
      <c r="C13" s="14">
        <v>421.0</v>
      </c>
      <c r="D13" s="15">
        <v>125.0</v>
      </c>
      <c r="E13" s="184">
        <v>100.0</v>
      </c>
      <c r="F13" s="14">
        <f>C13-D13-E13</f>
        <v>196</v>
      </c>
      <c r="G13" s="17">
        <f>C13*0.35</f>
        <v>147.35</v>
      </c>
      <c r="H13" s="33">
        <f>F13-G13</f>
        <v>48.65</v>
      </c>
      <c r="I13" s="36">
        <v>3.0</v>
      </c>
      <c r="J13" s="19">
        <v>3.0</v>
      </c>
      <c r="K13" s="20">
        <v>6.0</v>
      </c>
      <c r="L13" s="185">
        <f>sum(O14:Q14)</f>
        <v>75</v>
      </c>
      <c r="M13" s="34">
        <f>L13-H13</f>
        <v>26.35</v>
      </c>
      <c r="N13" s="22">
        <f>(G13+H13)/sum(G13,O14,P14,Q14,R14,S14,T14,U14,V14,W14)</f>
        <v>0.8814931414</v>
      </c>
      <c r="O13" s="23" t="s">
        <v>34</v>
      </c>
      <c r="P13" s="23" t="s">
        <v>166</v>
      </c>
      <c r="Q13" s="23" t="s">
        <v>167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>
      <c r="A14" s="25"/>
      <c r="B14" s="13"/>
      <c r="C14" s="14"/>
      <c r="D14" s="25"/>
      <c r="E14" s="16" t="s">
        <v>168</v>
      </c>
      <c r="F14" s="27"/>
      <c r="G14" s="17"/>
      <c r="H14" s="26"/>
      <c r="I14" s="18"/>
      <c r="J14" s="28"/>
      <c r="K14" s="29"/>
      <c r="L14" s="28"/>
      <c r="M14" s="28"/>
      <c r="N14" s="28"/>
      <c r="O14" s="31">
        <v>25.0</v>
      </c>
      <c r="P14" s="31">
        <v>25.0</v>
      </c>
      <c r="Q14" s="31">
        <v>25.0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>
      <c r="A15" s="25">
        <v>8.0</v>
      </c>
      <c r="B15" s="40" t="s">
        <v>37</v>
      </c>
      <c r="C15" s="14">
        <v>347.0</v>
      </c>
      <c r="D15" s="15">
        <v>125.0</v>
      </c>
      <c r="E15" s="16">
        <v>0.0</v>
      </c>
      <c r="F15" s="14">
        <f>C15-D15-E15</f>
        <v>222</v>
      </c>
      <c r="G15" s="17">
        <f>C15*0.35</f>
        <v>121.45</v>
      </c>
      <c r="H15" s="33">
        <f>F15-G15</f>
        <v>100.55</v>
      </c>
      <c r="I15" s="36">
        <v>3.0</v>
      </c>
      <c r="J15" s="19">
        <v>4.0</v>
      </c>
      <c r="K15" s="20">
        <v>6.0</v>
      </c>
      <c r="L15" s="19">
        <f>sum(O16:Q16)</f>
        <v>100</v>
      </c>
      <c r="M15" s="34">
        <f>L15-H15</f>
        <v>-0.55</v>
      </c>
      <c r="N15" s="22">
        <f>(G15+H15)/sum(G15,O16,P16,Q16,R16,S16,T16,U16,V16,W16)</f>
        <v>1.002483631</v>
      </c>
      <c r="O15" s="23" t="s">
        <v>169</v>
      </c>
      <c r="P15" s="23" t="s">
        <v>170</v>
      </c>
      <c r="Q15" s="23" t="s">
        <v>171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>
      <c r="A16" s="25"/>
      <c r="B16" s="13"/>
      <c r="C16" s="14"/>
      <c r="D16" s="25"/>
      <c r="E16" s="26"/>
      <c r="F16" s="27"/>
      <c r="G16" s="17"/>
      <c r="H16" s="26"/>
      <c r="I16" s="18"/>
      <c r="J16" s="28"/>
      <c r="K16" s="29"/>
      <c r="L16" s="28"/>
      <c r="M16" s="28"/>
      <c r="N16" s="28"/>
      <c r="O16" s="31">
        <v>50.0</v>
      </c>
      <c r="P16" s="31">
        <v>25.0</v>
      </c>
      <c r="Q16" s="31">
        <v>25.0</v>
      </c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>
      <c r="A17" s="25">
        <v>12.0</v>
      </c>
      <c r="B17" s="13" t="s">
        <v>50</v>
      </c>
      <c r="C17" s="14">
        <v>329.0</v>
      </c>
      <c r="D17" s="15">
        <v>125.0</v>
      </c>
      <c r="E17" s="16">
        <v>0.0</v>
      </c>
      <c r="F17" s="14">
        <f>C17-D17-E17</f>
        <v>204</v>
      </c>
      <c r="G17" s="17">
        <f>C17*0.35</f>
        <v>115.15</v>
      </c>
      <c r="H17" s="33">
        <f>F17-G17</f>
        <v>88.85</v>
      </c>
      <c r="I17" s="18">
        <v>3.0</v>
      </c>
      <c r="J17" s="19">
        <v>4.0</v>
      </c>
      <c r="K17" s="20">
        <v>8.0</v>
      </c>
      <c r="L17" s="19">
        <v>100.0</v>
      </c>
      <c r="M17" s="34">
        <f>L17-H17</f>
        <v>11.15</v>
      </c>
      <c r="N17" s="22">
        <f>(G17+H17)/sum(G17,O18,P18,Q18,R18,S18,T18,U18,V18,W18)</f>
        <v>0.9481756914</v>
      </c>
      <c r="O17" s="23" t="s">
        <v>170</v>
      </c>
      <c r="P17" s="23" t="s">
        <v>67</v>
      </c>
      <c r="Q17" s="23" t="s">
        <v>172</v>
      </c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>
      <c r="A18" s="25"/>
      <c r="B18" s="13"/>
      <c r="C18" s="14"/>
      <c r="D18" s="25"/>
      <c r="E18" s="26"/>
      <c r="F18" s="27"/>
      <c r="G18" s="17"/>
      <c r="H18" s="26"/>
      <c r="I18" s="18"/>
      <c r="J18" s="28"/>
      <c r="K18" s="29"/>
      <c r="L18" s="28"/>
      <c r="M18" s="28"/>
      <c r="N18" s="28"/>
      <c r="O18" s="31">
        <v>25.0</v>
      </c>
      <c r="P18" s="31">
        <v>50.0</v>
      </c>
      <c r="Q18" s="31">
        <v>25.0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>
      <c r="A19" s="25">
        <v>9.0</v>
      </c>
      <c r="B19" s="186" t="s">
        <v>40</v>
      </c>
      <c r="C19" s="14">
        <v>202.0</v>
      </c>
      <c r="D19" s="15">
        <v>125.0</v>
      </c>
      <c r="E19" s="16">
        <v>0.0</v>
      </c>
      <c r="F19" s="14">
        <f>C19-D19-E19</f>
        <v>77</v>
      </c>
      <c r="G19" s="17">
        <f>C19*0.35</f>
        <v>70.7</v>
      </c>
      <c r="H19" s="33">
        <f>F19-G19</f>
        <v>6.3</v>
      </c>
      <c r="I19" s="18">
        <v>2.0</v>
      </c>
      <c r="J19" s="19">
        <v>2.0</v>
      </c>
      <c r="K19" s="20">
        <v>2.0</v>
      </c>
      <c r="L19" s="187">
        <f>sum(O20:P20)</f>
        <v>50</v>
      </c>
      <c r="M19" s="34">
        <f>L19-H19</f>
        <v>43.7</v>
      </c>
      <c r="N19" s="22">
        <f>(G19+H19)/sum(G19,O20,P20,Q20,R20,S20,T20,U20,V20,W20)</f>
        <v>0.637945319</v>
      </c>
      <c r="O19" s="23" t="s">
        <v>173</v>
      </c>
      <c r="P19" s="23" t="s">
        <v>171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>
      <c r="A20" s="25"/>
      <c r="B20" s="13"/>
      <c r="C20" s="14"/>
      <c r="D20" s="25"/>
      <c r="E20" s="26"/>
      <c r="F20" s="27"/>
      <c r="G20" s="17"/>
      <c r="H20" s="26"/>
      <c r="I20" s="18"/>
      <c r="J20" s="28"/>
      <c r="K20" s="29"/>
      <c r="L20" s="28"/>
      <c r="M20" s="28"/>
      <c r="N20" s="28"/>
      <c r="O20" s="31">
        <v>25.0</v>
      </c>
      <c r="P20" s="31">
        <v>25.0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>
      <c r="A21" s="25">
        <v>32.0</v>
      </c>
      <c r="B21" s="186" t="s">
        <v>42</v>
      </c>
      <c r="C21" s="14">
        <v>62.0</v>
      </c>
      <c r="D21" s="15">
        <v>50.0</v>
      </c>
      <c r="E21" s="16">
        <v>0.0</v>
      </c>
      <c r="F21" s="14">
        <f>C21-D21-E21</f>
        <v>12</v>
      </c>
      <c r="G21" s="17">
        <f>C21*0.35</f>
        <v>21.7</v>
      </c>
      <c r="H21" s="33">
        <f>F21-G21</f>
        <v>-9.7</v>
      </c>
      <c r="I21" s="18">
        <v>1.0</v>
      </c>
      <c r="J21" s="19">
        <v>1.0</v>
      </c>
      <c r="K21" s="20">
        <v>2.0</v>
      </c>
      <c r="L21" s="187">
        <f>sum(O22:P22)</f>
        <v>25</v>
      </c>
      <c r="M21" s="34">
        <f>L21-H21</f>
        <v>34.7</v>
      </c>
      <c r="N21" s="22">
        <f>(G21+H21)/sum(G21,O22,P22,Q22,R22,S22,T22,U22,V22,W22)</f>
        <v>0.2569593148</v>
      </c>
      <c r="O21" s="23" t="s">
        <v>47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>
      <c r="A22" s="25"/>
      <c r="B22" s="13"/>
      <c r="C22" s="14"/>
      <c r="D22" s="25"/>
      <c r="E22" s="26"/>
      <c r="F22" s="27"/>
      <c r="G22" s="17"/>
      <c r="H22" s="26"/>
      <c r="I22" s="18"/>
      <c r="J22" s="28"/>
      <c r="K22" s="29"/>
      <c r="L22" s="28"/>
      <c r="M22" s="28"/>
      <c r="N22" s="28"/>
      <c r="O22" s="31">
        <v>25.0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>
      <c r="A23" s="25">
        <v>5.0</v>
      </c>
      <c r="B23" s="40" t="s">
        <v>44</v>
      </c>
      <c r="C23" s="14">
        <v>493.0</v>
      </c>
      <c r="D23" s="15">
        <v>125.0</v>
      </c>
      <c r="E23" s="16">
        <v>0.0</v>
      </c>
      <c r="F23" s="14">
        <f>C23-D23-E23</f>
        <v>368</v>
      </c>
      <c r="G23" s="17">
        <f>C23*0.35</f>
        <v>172.55</v>
      </c>
      <c r="H23" s="33">
        <f>F23-G23</f>
        <v>195.45</v>
      </c>
      <c r="I23" s="18">
        <v>4.0</v>
      </c>
      <c r="J23" s="19">
        <v>8.0</v>
      </c>
      <c r="K23" s="20">
        <v>10.0</v>
      </c>
      <c r="L23" s="28">
        <f>sum(O24:S24)</f>
        <v>200</v>
      </c>
      <c r="M23" s="34">
        <f>L23-H23</f>
        <v>4.55</v>
      </c>
      <c r="N23" s="22">
        <f>(G23+H23)/sum(G23,O24,P24,Q24,R24,S24,T24,U24,V24,W24)</f>
        <v>0.9877868742</v>
      </c>
      <c r="O23" s="23" t="s">
        <v>45</v>
      </c>
      <c r="P23" s="23" t="s">
        <v>46</v>
      </c>
      <c r="Q23" s="23" t="s">
        <v>174</v>
      </c>
      <c r="R23" s="23" t="s">
        <v>175</v>
      </c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>
      <c r="A24" s="25"/>
      <c r="B24" s="13"/>
      <c r="C24" s="14"/>
      <c r="D24" s="25"/>
      <c r="E24" s="26"/>
      <c r="F24" s="27"/>
      <c r="G24" s="17"/>
      <c r="H24" s="26"/>
      <c r="I24" s="18"/>
      <c r="J24" s="28"/>
      <c r="K24" s="29"/>
      <c r="L24" s="28"/>
      <c r="M24" s="28"/>
      <c r="N24" s="28"/>
      <c r="O24" s="31">
        <v>100.0</v>
      </c>
      <c r="P24" s="31">
        <v>25.0</v>
      </c>
      <c r="Q24" s="31">
        <v>50.0</v>
      </c>
      <c r="R24" s="31">
        <v>25.0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>
      <c r="A25" s="25">
        <v>24.0</v>
      </c>
      <c r="B25" s="40" t="s">
        <v>48</v>
      </c>
      <c r="C25" s="14">
        <v>307.0</v>
      </c>
      <c r="D25" s="15">
        <v>125.0</v>
      </c>
      <c r="E25" s="16">
        <v>0.0</v>
      </c>
      <c r="F25" s="14">
        <f>C25-D25-E25</f>
        <v>182</v>
      </c>
      <c r="G25" s="17">
        <f>C25*0.35</f>
        <v>107.45</v>
      </c>
      <c r="H25" s="33">
        <f>F25-G25</f>
        <v>74.55</v>
      </c>
      <c r="I25" s="36">
        <v>2.0</v>
      </c>
      <c r="J25" s="19">
        <v>3.0</v>
      </c>
      <c r="K25" s="20">
        <v>5.0</v>
      </c>
      <c r="L25" s="19">
        <f>sum(O26:P26)</f>
        <v>75</v>
      </c>
      <c r="M25" s="34">
        <f>L25-H25</f>
        <v>0.45</v>
      </c>
      <c r="N25" s="22">
        <f>(G25+H25)/sum(G25,O26,P26,Q26,R26,S26,T26,U26,V26,W26)</f>
        <v>0.9975335708</v>
      </c>
      <c r="O25" s="23" t="s">
        <v>56</v>
      </c>
      <c r="P25" s="23" t="s">
        <v>176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>
      <c r="A26" s="25"/>
      <c r="B26" s="13"/>
      <c r="C26" s="14"/>
      <c r="D26" s="25"/>
      <c r="E26" s="26"/>
      <c r="F26" s="27"/>
      <c r="G26" s="17"/>
      <c r="H26" s="26"/>
      <c r="I26" s="18"/>
      <c r="J26" s="28"/>
      <c r="K26" s="29"/>
      <c r="L26" s="28"/>
      <c r="M26" s="28"/>
      <c r="N26" s="28"/>
      <c r="O26" s="31">
        <v>25.0</v>
      </c>
      <c r="P26" s="31">
        <v>50.0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>
      <c r="A27" s="25">
        <v>13.0</v>
      </c>
      <c r="B27" s="13" t="s">
        <v>52</v>
      </c>
      <c r="C27" s="14">
        <v>294.0</v>
      </c>
      <c r="D27" s="15">
        <v>125.0</v>
      </c>
      <c r="E27" s="16">
        <v>0.0</v>
      </c>
      <c r="F27" s="14">
        <f>C27-D27-E27</f>
        <v>169</v>
      </c>
      <c r="G27" s="17">
        <f>C27*0.35</f>
        <v>102.9</v>
      </c>
      <c r="H27" s="33">
        <f>F27-G27</f>
        <v>66.1</v>
      </c>
      <c r="I27" s="18">
        <v>2.0</v>
      </c>
      <c r="J27" s="19">
        <v>3.0</v>
      </c>
      <c r="K27" s="20">
        <v>4.0</v>
      </c>
      <c r="L27" s="28">
        <f>sum(O28:P29)</f>
        <v>50</v>
      </c>
      <c r="M27" s="34">
        <f>L27-H27</f>
        <v>-16.1</v>
      </c>
      <c r="N27" s="22">
        <f>(G27+H27)/sum(G27,O28,P28,Q28,R28,S28,T28,U28,V28,W28)</f>
        <v>0.9499718943</v>
      </c>
      <c r="O27" s="23" t="s">
        <v>34</v>
      </c>
      <c r="P27" s="23" t="s">
        <v>177</v>
      </c>
      <c r="Q27" s="23" t="s">
        <v>178</v>
      </c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>
      <c r="A28" s="25"/>
      <c r="B28" s="13"/>
      <c r="C28" s="14"/>
      <c r="D28" s="25"/>
      <c r="E28" s="26"/>
      <c r="F28" s="27"/>
      <c r="G28" s="17"/>
      <c r="H28" s="26"/>
      <c r="I28" s="18"/>
      <c r="J28" s="28"/>
      <c r="K28" s="29"/>
      <c r="L28" s="28"/>
      <c r="M28" s="28"/>
      <c r="N28" s="28"/>
      <c r="O28" s="31">
        <v>25.0</v>
      </c>
      <c r="P28" s="31">
        <v>25.0</v>
      </c>
      <c r="Q28" s="31">
        <v>25.0</v>
      </c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>
      <c r="A29" s="25">
        <v>14.0</v>
      </c>
      <c r="B29" s="188" t="s">
        <v>55</v>
      </c>
      <c r="C29" s="189">
        <v>437.0</v>
      </c>
      <c r="D29" s="15">
        <v>125.0</v>
      </c>
      <c r="E29" s="16">
        <v>0.0</v>
      </c>
      <c r="F29" s="14">
        <f>C29-D29-E29</f>
        <v>312</v>
      </c>
      <c r="G29" s="17">
        <f>C29*0.35</f>
        <v>152.95</v>
      </c>
      <c r="H29" s="33">
        <f>F29-G29</f>
        <v>159.05</v>
      </c>
      <c r="I29" s="36">
        <v>2.0</v>
      </c>
      <c r="J29" s="19">
        <v>6.0</v>
      </c>
      <c r="K29" s="20">
        <v>6.0</v>
      </c>
      <c r="L29" s="19">
        <f>sum(O30:P30)</f>
        <v>150</v>
      </c>
      <c r="M29" s="34">
        <f>L29-H29</f>
        <v>-9.05</v>
      </c>
      <c r="N29" s="22">
        <f>(G29+H29)/sum(G29,O30,P30,Q30,R30,S30,T30,U30,V30,W30)</f>
        <v>1.029872916</v>
      </c>
      <c r="O29" s="23" t="s">
        <v>56</v>
      </c>
      <c r="P29" s="23" t="s">
        <v>57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>
      <c r="A30" s="25"/>
      <c r="B30" s="13"/>
      <c r="C30" s="14"/>
      <c r="D30" s="25"/>
      <c r="E30" s="26"/>
      <c r="F30" s="27"/>
      <c r="G30" s="17"/>
      <c r="H30" s="26"/>
      <c r="I30" s="18"/>
      <c r="J30" s="28"/>
      <c r="K30" s="29"/>
      <c r="L30" s="28"/>
      <c r="M30" s="28"/>
      <c r="N30" s="28"/>
      <c r="O30" s="31">
        <v>75.0</v>
      </c>
      <c r="P30" s="31">
        <v>75.0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>
      <c r="A31" s="25">
        <v>15.0</v>
      </c>
      <c r="B31" s="13" t="s">
        <v>58</v>
      </c>
      <c r="C31" s="14">
        <v>512.0</v>
      </c>
      <c r="D31" s="15">
        <v>125.0</v>
      </c>
      <c r="E31" s="16">
        <v>0.0</v>
      </c>
      <c r="F31" s="14">
        <f>C31-D31-E31</f>
        <v>387</v>
      </c>
      <c r="G31" s="17">
        <f>C31*0.35</f>
        <v>179.2</v>
      </c>
      <c r="H31" s="33">
        <f>F31-G31</f>
        <v>207.8</v>
      </c>
      <c r="I31" s="18">
        <v>4.0</v>
      </c>
      <c r="J31" s="19">
        <v>8.0</v>
      </c>
      <c r="K31" s="20">
        <v>10.0</v>
      </c>
      <c r="L31" s="28">
        <f>sum(O32:S32)</f>
        <v>200</v>
      </c>
      <c r="M31" s="34">
        <f>L31-H31</f>
        <v>-7.8</v>
      </c>
      <c r="N31" s="22">
        <f>(G31+H31)/sum(G31,O32,P32,Q32,R32,S32,T32,U32,V32,W32)</f>
        <v>1.02056962</v>
      </c>
      <c r="O31" s="23" t="s">
        <v>179</v>
      </c>
      <c r="P31" s="23" t="s">
        <v>180</v>
      </c>
      <c r="Q31" s="23" t="s">
        <v>68</v>
      </c>
      <c r="R31" s="23" t="s">
        <v>166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>
      <c r="A32" s="25"/>
      <c r="B32" s="13"/>
      <c r="C32" s="14"/>
      <c r="D32" s="25"/>
      <c r="E32" s="26"/>
      <c r="F32" s="27"/>
      <c r="G32" s="17"/>
      <c r="H32" s="26"/>
      <c r="I32" s="18"/>
      <c r="J32" s="28"/>
      <c r="K32" s="29"/>
      <c r="L32" s="28"/>
      <c r="M32" s="28"/>
      <c r="N32" s="28"/>
      <c r="O32" s="31">
        <v>50.0</v>
      </c>
      <c r="P32" s="31">
        <v>50.0</v>
      </c>
      <c r="Q32" s="31">
        <v>50.0</v>
      </c>
      <c r="R32" s="31">
        <v>50.0</v>
      </c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hidden="1">
      <c r="A33" s="25">
        <v>25.0</v>
      </c>
      <c r="B33" s="13" t="s">
        <v>80</v>
      </c>
      <c r="C33" s="14">
        <v>1014.0</v>
      </c>
      <c r="D33" s="15">
        <v>125.0</v>
      </c>
      <c r="E33" s="16">
        <v>0.0</v>
      </c>
      <c r="F33" s="14">
        <f>C33-D33-E33</f>
        <v>889</v>
      </c>
      <c r="G33" s="17">
        <f>C33*0.35</f>
        <v>354.9</v>
      </c>
      <c r="H33" s="33">
        <f>F33-G33</f>
        <v>534.1</v>
      </c>
      <c r="I33" s="36">
        <v>18.0</v>
      </c>
      <c r="J33" s="19"/>
      <c r="K33" s="20"/>
      <c r="L33" s="19"/>
      <c r="M33" s="19"/>
      <c r="N33" s="19"/>
      <c r="O33" s="23" t="s">
        <v>81</v>
      </c>
      <c r="P33" s="24" t="s">
        <v>82</v>
      </c>
      <c r="Q33" s="23" t="s">
        <v>83</v>
      </c>
      <c r="R33" s="23" t="s">
        <v>84</v>
      </c>
      <c r="S33" s="23" t="s">
        <v>85</v>
      </c>
      <c r="T33" s="23" t="s">
        <v>86</v>
      </c>
      <c r="U33" s="23" t="s">
        <v>87</v>
      </c>
      <c r="V33" s="23" t="s">
        <v>88</v>
      </c>
      <c r="W33" s="23" t="s">
        <v>89</v>
      </c>
      <c r="X33" s="23" t="s">
        <v>90</v>
      </c>
      <c r="Y33" s="23" t="s">
        <v>91</v>
      </c>
      <c r="Z33" s="23" t="s">
        <v>92</v>
      </c>
      <c r="AA33" s="23" t="s">
        <v>93</v>
      </c>
      <c r="AB33" s="23" t="s">
        <v>94</v>
      </c>
      <c r="AC33" s="23" t="s">
        <v>95</v>
      </c>
      <c r="AD33" s="23" t="s">
        <v>96</v>
      </c>
      <c r="AE33" s="23" t="s">
        <v>97</v>
      </c>
      <c r="AF33" s="23" t="s">
        <v>98</v>
      </c>
    </row>
    <row r="34" hidden="1">
      <c r="A34" s="25"/>
      <c r="B34" s="13"/>
      <c r="C34" s="14"/>
      <c r="D34" s="25"/>
      <c r="E34" s="26"/>
      <c r="F34" s="27"/>
      <c r="G34" s="17"/>
      <c r="H34" s="26"/>
      <c r="I34" s="18"/>
      <c r="J34" s="28"/>
      <c r="K34" s="29"/>
      <c r="L34" s="28"/>
      <c r="M34" s="28"/>
      <c r="N34" s="28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31">
        <v>25.0</v>
      </c>
      <c r="AD34" s="84"/>
      <c r="AE34" s="84"/>
      <c r="AF34" s="84"/>
    </row>
    <row r="35">
      <c r="A35" s="25">
        <v>16.0</v>
      </c>
      <c r="B35" s="40" t="s">
        <v>62</v>
      </c>
      <c r="C35" s="14">
        <v>425.0</v>
      </c>
      <c r="D35" s="15">
        <v>125.0</v>
      </c>
      <c r="E35" s="16">
        <v>0.0</v>
      </c>
      <c r="F35" s="14">
        <f>C35-D35-E35</f>
        <v>300</v>
      </c>
      <c r="G35" s="17">
        <f>C35*0.35</f>
        <v>148.75</v>
      </c>
      <c r="H35" s="33">
        <f>F35-G35</f>
        <v>151.25</v>
      </c>
      <c r="I35" s="18">
        <v>3.0</v>
      </c>
      <c r="J35" s="19">
        <v>6.0</v>
      </c>
      <c r="K35" s="20">
        <v>7.0</v>
      </c>
      <c r="L35" s="28">
        <f>sum(O36:Q36)</f>
        <v>150</v>
      </c>
      <c r="M35" s="34">
        <f>L35-H35</f>
        <v>-1.25</v>
      </c>
      <c r="N35" s="22">
        <f>(G35+H35)/sum(G35,O36,P36,Q36,R36,S36,T36,U36,V36,W36)</f>
        <v>1.0041841</v>
      </c>
      <c r="O35" s="23" t="s">
        <v>181</v>
      </c>
      <c r="P35" s="23" t="s">
        <v>182</v>
      </c>
      <c r="Q35" s="23" t="s">
        <v>183</v>
      </c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>
      <c r="A36" s="25"/>
      <c r="B36" s="13"/>
      <c r="C36" s="14"/>
      <c r="D36" s="25"/>
      <c r="E36" s="26"/>
      <c r="F36" s="27"/>
      <c r="G36" s="17"/>
      <c r="H36" s="26"/>
      <c r="I36" s="18"/>
      <c r="J36" s="28"/>
      <c r="K36" s="29"/>
      <c r="L36" s="28"/>
      <c r="M36" s="28"/>
      <c r="N36" s="28"/>
      <c r="O36" s="31">
        <v>50.0</v>
      </c>
      <c r="P36" s="31">
        <v>50.0</v>
      </c>
      <c r="Q36" s="31">
        <v>50.0</v>
      </c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>
      <c r="A37" s="25">
        <v>17.0</v>
      </c>
      <c r="B37" s="13" t="s">
        <v>64</v>
      </c>
      <c r="C37" s="14">
        <v>376.0</v>
      </c>
      <c r="D37" s="15">
        <v>60.0</v>
      </c>
      <c r="E37" s="16">
        <v>0.0</v>
      </c>
      <c r="F37" s="14">
        <f>C37-D37-E37</f>
        <v>316</v>
      </c>
      <c r="G37" s="17">
        <f>C37*0.35</f>
        <v>131.6</v>
      </c>
      <c r="H37" s="33">
        <f>F37-G37</f>
        <v>184.4</v>
      </c>
      <c r="I37" s="18">
        <v>4.0</v>
      </c>
      <c r="J37" s="19">
        <v>8.0</v>
      </c>
      <c r="K37" s="20">
        <v>9.0</v>
      </c>
      <c r="L37" s="28">
        <f>sum(O38:R38)</f>
        <v>200</v>
      </c>
      <c r="M37" s="34">
        <f>L37-H37</f>
        <v>15.6</v>
      </c>
      <c r="N37" s="22">
        <f>(G37+H37)/sum(G37,O38,P38,Q38,R38,S38,T38,U38,V38,W38)</f>
        <v>0.9529553679</v>
      </c>
      <c r="O37" s="23" t="s">
        <v>65</v>
      </c>
      <c r="P37" s="23" t="s">
        <v>184</v>
      </c>
      <c r="Q37" s="23" t="s">
        <v>67</v>
      </c>
      <c r="R37" s="23" t="s">
        <v>185</v>
      </c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>
      <c r="A38" s="25"/>
      <c r="B38" s="13"/>
      <c r="C38" s="14"/>
      <c r="D38" s="25"/>
      <c r="E38" s="26"/>
      <c r="F38" s="27"/>
      <c r="G38" s="17"/>
      <c r="H38" s="26"/>
      <c r="I38" s="18"/>
      <c r="J38" s="28"/>
      <c r="K38" s="29"/>
      <c r="L38" s="28"/>
      <c r="M38" s="28"/>
      <c r="N38" s="28"/>
      <c r="O38" s="31">
        <v>50.0</v>
      </c>
      <c r="P38" s="31">
        <v>50.0</v>
      </c>
      <c r="Q38" s="31">
        <v>50.0</v>
      </c>
      <c r="R38" s="31">
        <v>50.0</v>
      </c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>
      <c r="A39" s="25">
        <v>18.0</v>
      </c>
      <c r="B39" s="40" t="s">
        <v>69</v>
      </c>
      <c r="C39" s="14">
        <v>548.0</v>
      </c>
      <c r="D39" s="15">
        <v>125.0</v>
      </c>
      <c r="E39" s="16">
        <v>0.0</v>
      </c>
      <c r="F39" s="14">
        <f>C39-D39-E39</f>
        <v>423</v>
      </c>
      <c r="G39" s="17">
        <f>C39*0.35</f>
        <v>191.8</v>
      </c>
      <c r="H39" s="33">
        <f>F39-G39</f>
        <v>231.2</v>
      </c>
      <c r="I39" s="18">
        <v>3.0</v>
      </c>
      <c r="J39" s="19">
        <v>10.0</v>
      </c>
      <c r="K39" s="20">
        <v>8.0</v>
      </c>
      <c r="L39" s="28">
        <f>sum(O40:Q40)</f>
        <v>250</v>
      </c>
      <c r="M39" s="34">
        <f>L39-H39</f>
        <v>18.8</v>
      </c>
      <c r="N39" s="22">
        <f>(G39+H39)/sum(G39,O40,P40,Q40,R40,S40,T40,U40,V40,W40)</f>
        <v>0.9574468085</v>
      </c>
      <c r="O39" s="23" t="s">
        <v>186</v>
      </c>
      <c r="P39" s="23" t="s">
        <v>187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>
      <c r="A40" s="25"/>
      <c r="B40" s="13"/>
      <c r="C40" s="14"/>
      <c r="D40" s="25"/>
      <c r="E40" s="26"/>
      <c r="F40" s="27"/>
      <c r="G40" s="17"/>
      <c r="H40" s="26"/>
      <c r="I40" s="18"/>
      <c r="J40" s="28"/>
      <c r="K40" s="29"/>
      <c r="L40" s="28"/>
      <c r="M40" s="28"/>
      <c r="N40" s="28"/>
      <c r="O40" s="31">
        <v>50.0</v>
      </c>
      <c r="P40" s="31">
        <v>200.0</v>
      </c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>
      <c r="A41" s="25">
        <v>21.0</v>
      </c>
      <c r="B41" s="13" t="s">
        <v>73</v>
      </c>
      <c r="C41" s="14">
        <v>490.0</v>
      </c>
      <c r="D41" s="15">
        <v>125.0</v>
      </c>
      <c r="E41" s="16">
        <v>0.0</v>
      </c>
      <c r="F41" s="14">
        <f>C41-D41-E41</f>
        <v>365</v>
      </c>
      <c r="G41" s="17">
        <f>C41*0.35</f>
        <v>171.5</v>
      </c>
      <c r="H41" s="33">
        <f>F41-G41</f>
        <v>193.5</v>
      </c>
      <c r="I41" s="36">
        <v>4.0</v>
      </c>
      <c r="J41" s="19">
        <v>8.0</v>
      </c>
      <c r="K41" s="20">
        <v>8.0</v>
      </c>
      <c r="L41" s="19">
        <f>sum(O42:R42)</f>
        <v>200</v>
      </c>
      <c r="M41" s="34">
        <f>L41-H41</f>
        <v>6.5</v>
      </c>
      <c r="N41" s="22">
        <f>(G41+H41)/sum(G41,O42,P42,Q42,R42,S42,T42,U42,V42,W42)</f>
        <v>0.9825033647</v>
      </c>
      <c r="O41" s="23" t="s">
        <v>155</v>
      </c>
      <c r="P41" s="23" t="s">
        <v>188</v>
      </c>
      <c r="Q41" s="23" t="s">
        <v>189</v>
      </c>
      <c r="R41" s="23" t="s">
        <v>76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>
      <c r="A42" s="25"/>
      <c r="B42" s="13"/>
      <c r="C42" s="14"/>
      <c r="D42" s="25"/>
      <c r="E42" s="26"/>
      <c r="F42" s="27"/>
      <c r="G42" s="17"/>
      <c r="H42" s="26"/>
      <c r="I42" s="18"/>
      <c r="J42" s="28"/>
      <c r="K42" s="29"/>
      <c r="L42" s="28"/>
      <c r="M42" s="28"/>
      <c r="N42" s="28"/>
      <c r="O42" s="31">
        <v>50.0</v>
      </c>
      <c r="P42" s="31">
        <v>50.0</v>
      </c>
      <c r="Q42" s="31">
        <v>50.0</v>
      </c>
      <c r="R42" s="31">
        <v>50.0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>
      <c r="A43" s="25">
        <v>380.0</v>
      </c>
      <c r="B43" s="183" t="s">
        <v>77</v>
      </c>
      <c r="C43" s="14">
        <v>195.0</v>
      </c>
      <c r="D43" s="15">
        <v>125.0</v>
      </c>
      <c r="E43" s="16">
        <v>0.0</v>
      </c>
      <c r="F43" s="14">
        <f>C43-D43-E43</f>
        <v>70</v>
      </c>
      <c r="G43" s="17">
        <f>C43*0.35</f>
        <v>68.25</v>
      </c>
      <c r="H43" s="33">
        <f>F43-G43</f>
        <v>1.75</v>
      </c>
      <c r="I43" s="36">
        <v>3.0</v>
      </c>
      <c r="J43" s="19">
        <v>3.0</v>
      </c>
      <c r="K43" s="20">
        <v>5.0</v>
      </c>
      <c r="L43" s="185">
        <f>sum(O44:Q44)</f>
        <v>25</v>
      </c>
      <c r="M43" s="34">
        <f>L43-H43</f>
        <v>23.25</v>
      </c>
      <c r="N43" s="22">
        <f>(G43+H43)/sum(G43,O44,P44,Q44,R44,S44,T44,U44,V44,W44)</f>
        <v>0.7506702413</v>
      </c>
      <c r="O43" s="23" t="s">
        <v>34</v>
      </c>
      <c r="P43" s="23"/>
      <c r="Q43" s="23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>
      <c r="A44" s="25"/>
      <c r="B44" s="13"/>
      <c r="C44" s="14"/>
      <c r="D44" s="25"/>
      <c r="E44" s="26"/>
      <c r="F44" s="27"/>
      <c r="G44" s="17"/>
      <c r="H44" s="26"/>
      <c r="I44" s="18"/>
      <c r="J44" s="28"/>
      <c r="K44" s="29"/>
      <c r="L44" s="28"/>
      <c r="M44" s="28"/>
      <c r="N44" s="28"/>
      <c r="O44" s="31">
        <v>25.0</v>
      </c>
      <c r="P44" s="31"/>
      <c r="Q44" s="31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>
      <c r="A45" s="25">
        <v>22.0</v>
      </c>
      <c r="B45" s="13" t="s">
        <v>79</v>
      </c>
      <c r="C45" s="14">
        <v>511.0</v>
      </c>
      <c r="D45" s="15">
        <v>125.0</v>
      </c>
      <c r="E45" s="38">
        <v>120.0</v>
      </c>
      <c r="F45" s="14">
        <f>C45-D45-E45</f>
        <v>266</v>
      </c>
      <c r="G45" s="17">
        <f>C45*0.35</f>
        <v>178.85</v>
      </c>
      <c r="H45" s="33">
        <f>F45-G45</f>
        <v>87.15</v>
      </c>
      <c r="I45" s="18">
        <v>5.0</v>
      </c>
      <c r="J45" s="19">
        <v>6.0</v>
      </c>
      <c r="K45" s="20">
        <v>6.0</v>
      </c>
      <c r="L45" s="28">
        <f>sum(O46:R46)</f>
        <v>100</v>
      </c>
      <c r="M45" s="34">
        <f>L45-H45</f>
        <v>12.85</v>
      </c>
      <c r="N45" s="22">
        <f>(G45+H45)/sum(G45,O46,P46,Q46,R46,S46,T46,U46,V46,W46)</f>
        <v>0.953917877</v>
      </c>
      <c r="O45" s="23" t="s">
        <v>156</v>
      </c>
      <c r="P45" s="23" t="s">
        <v>173</v>
      </c>
      <c r="Q45" s="23" t="s">
        <v>190</v>
      </c>
      <c r="R45" s="39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>
      <c r="A46" s="25"/>
      <c r="B46" s="13"/>
      <c r="C46" s="85"/>
      <c r="D46" s="190"/>
      <c r="E46" s="191"/>
      <c r="F46" s="85"/>
      <c r="G46" s="89"/>
      <c r="H46" s="87"/>
      <c r="I46" s="90"/>
      <c r="J46" s="84"/>
      <c r="K46" s="29"/>
      <c r="L46" s="28"/>
      <c r="M46" s="28"/>
      <c r="N46" s="28"/>
      <c r="O46" s="31">
        <v>50.0</v>
      </c>
      <c r="P46" s="31">
        <v>25.0</v>
      </c>
      <c r="Q46" s="31">
        <v>25.0</v>
      </c>
      <c r="R46" s="39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>
      <c r="A47" s="192"/>
      <c r="B47" s="193" t="s">
        <v>72</v>
      </c>
      <c r="C47" s="194"/>
      <c r="D47" s="195"/>
      <c r="E47" s="196"/>
      <c r="F47" s="197"/>
      <c r="G47" s="198"/>
      <c r="H47" s="196"/>
      <c r="I47" s="199"/>
      <c r="J47" s="200">
        <f t="shared" ref="J47:K47" si="1">sum(J3:J45)</f>
        <v>106</v>
      </c>
      <c r="K47" s="201">
        <f t="shared" si="1"/>
        <v>136</v>
      </c>
      <c r="L47" s="202"/>
      <c r="M47" s="202"/>
      <c r="N47" s="202"/>
      <c r="O47" s="81"/>
      <c r="P47" s="81"/>
      <c r="Q47" s="81"/>
      <c r="R47" s="82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</row>
  </sheetData>
  <mergeCells count="2">
    <mergeCell ref="C1:E1"/>
    <mergeCell ref="F1:H1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