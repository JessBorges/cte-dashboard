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uses" sheetId="1" r:id="rId5"/>
    <sheet state="visible" name="Bryan Adams" sheetId="2" r:id="rId6"/>
    <sheet state="visible" name="Adamson" sheetId="3" r:id="rId7"/>
    <sheet state="visible" name="New Tech" sheetId="4" r:id="rId8"/>
    <sheet state="visible" name="Kimball" sheetId="5" r:id="rId9"/>
    <sheet state="visible" name="Molina" sheetId="6" r:id="rId10"/>
    <sheet state="visible" name="Hillcrest" sheetId="7" r:id="rId11"/>
    <sheet state="visible" name="Lincoln" sheetId="8" r:id="rId12"/>
    <sheet state="visible" name="TJ" sheetId="9" r:id="rId13"/>
    <sheet state="visible" name="Pinkston" sheetId="10" r:id="rId14"/>
    <sheet state="visible" name="Roosevelt" sheetId="11" r:id="rId15"/>
    <sheet state="visible" name="Sunset" sheetId="12" r:id="rId16"/>
    <sheet state="visible" name="Samuell" sheetId="13" r:id="rId17"/>
    <sheet state="visible" name="Townview - TAG" sheetId="14" r:id="rId18"/>
    <sheet state="visible" name="SOC" sheetId="15" r:id="rId19"/>
    <sheet state="visible" name="Spruce" sheetId="16" r:id="rId20"/>
    <sheet state="visible" name="Seagoville" sheetId="17" r:id="rId21"/>
    <sheet state="visible" name="White" sheetId="18" r:id="rId22"/>
    <sheet state="visible" name="Wilson" sheetId="19" r:id="rId23"/>
    <sheet state="visible" name="Carter" sheetId="20" r:id="rId24"/>
    <sheet state="visible" name="North Dallas" sheetId="21" r:id="rId25"/>
    <sheet state="visible" name="Skyline" sheetId="22" r:id="rId26"/>
    <sheet state="visible" name="Townview SEM" sheetId="23" r:id="rId27"/>
    <sheet state="visible" name="Conrad" sheetId="24" r:id="rId28"/>
    <sheet state="visible" name="Madison" sheetId="25" r:id="rId29"/>
    <sheet state="visible" name="Townview - Bus" sheetId="26" r:id="rId30"/>
    <sheet state="visible" name="Booker T" sheetId="27" r:id="rId31"/>
    <sheet state="visible" name="Irma Rangel" sheetId="28" r:id="rId32"/>
    <sheet state="visible" name="Townview - Health" sheetId="29" r:id="rId33"/>
    <sheet state="visible" name="Townview - Education" sheetId="30" r:id="rId34"/>
    <sheet state="visible" name="Townview - Law" sheetId="31" r:id="rId35"/>
    <sheet state="visible" name="IDEA" sheetId="32" r:id="rId36"/>
    <sheet state="visible" name="Wilmer-Hutchins" sheetId="33" r:id="rId37"/>
    <sheet state="hidden" name="Lassiter" sheetId="34" r:id="rId38"/>
    <sheet state="hidden" name="Gilliam" sheetId="35" r:id="rId39"/>
    <sheet state="hidden" name="Garza" sheetId="36" r:id="rId40"/>
    <sheet state="visible" name="Obama" sheetId="37" r:id="rId41"/>
    <sheet state="visible" name="City Lab" sheetId="38" r:id="rId42"/>
    <sheet state="visible" name="North Lake" sheetId="39" r:id="rId43"/>
    <sheet state="visible" name="CI North" sheetId="40" r:id="rId44"/>
    <sheet state="visible" name="CI South" sheetId="41" r:id="rId45"/>
    <sheet state="visible" name="CI East" sheetId="42" r:id="rId46"/>
    <sheet state="visible" name="Sheet6" sheetId="43" r:id="rId47"/>
    <sheet state="visible" name="ALIGNMENT CI" sheetId="44" r:id="rId48"/>
    <sheet state="visible" name="Haynes Global Prep" sheetId="45" r:id="rId49"/>
    <sheet state="visible" name="Data Validation" sheetId="46" r:id="rId50"/>
  </sheets>
  <definedNames/>
  <calcPr/>
</workbook>
</file>

<file path=xl/sharedStrings.xml><?xml version="1.0" encoding="utf-8"?>
<sst xmlns="http://schemas.openxmlformats.org/spreadsheetml/2006/main" count="8076" uniqueCount="2072">
  <si>
    <t xml:space="preserve"> </t>
  </si>
  <si>
    <t>Resources</t>
  </si>
  <si>
    <t>Campus:</t>
  </si>
  <si>
    <t>l</t>
  </si>
  <si>
    <t>W H ADAMSON H S</t>
  </si>
  <si>
    <t>BRYAN ADAMS H S</t>
  </si>
  <si>
    <t>TEA CTE Programs of Study Binder with Programs and Courses</t>
  </si>
  <si>
    <t xml:space="preserve">2025 - 2026 Dallas ISD CTE Programs of Study
 IF YOUR CAMPUS HAS QUESTIONS, PLEASE CONTACT JANEL HUMPHRIES (CTE Director) at jhumphries@dallasisd.org.  
</t>
  </si>
  <si>
    <t>NEW TECH H S AT BF DARRELL</t>
  </si>
  <si>
    <t>Key</t>
  </si>
  <si>
    <t>Program of Study Reviewed</t>
  </si>
  <si>
    <t>Course Reviewed</t>
  </si>
  <si>
    <t>Course Change</t>
  </si>
  <si>
    <t>Invalid Certification</t>
  </si>
  <si>
    <t>Principal:</t>
  </si>
  <si>
    <t>Stephanie Amaya</t>
  </si>
  <si>
    <t>Teacher Vacancy</t>
  </si>
  <si>
    <t>Executive Director:</t>
  </si>
  <si>
    <t>Dr. Lourdes Garduno</t>
  </si>
  <si>
    <t>Sarah Foster</t>
  </si>
  <si>
    <t>TEA Industry-Based Certifications</t>
  </si>
  <si>
    <t>Ryan Bott</t>
  </si>
  <si>
    <t>Channel Hutchinson</t>
  </si>
  <si>
    <t>Jonica Crowder - Lockwood</t>
  </si>
  <si>
    <t>ORG</t>
  </si>
  <si>
    <t>Campus Name</t>
  </si>
  <si>
    <t># of CTE Programs of Study:</t>
  </si>
  <si>
    <t>Shared with ED/Principal</t>
  </si>
  <si>
    <t>5, phasing out 2 (6 total)</t>
  </si>
  <si>
    <r>
      <rPr>
        <rFont val="Arial"/>
        <b/>
        <color rgb="FFFFFFFF"/>
        <sz val="10.0"/>
      </rPr>
      <t xml:space="preserve">ED/Principal </t>
    </r>
    <r>
      <rPr>
        <rFont val="Arial"/>
        <b/>
        <color rgb="FF274E13"/>
        <sz val="10.0"/>
        <u/>
      </rPr>
      <t>Completed</t>
    </r>
    <r>
      <rPr>
        <rFont val="Arial"/>
        <b/>
        <color rgb="FFFFFFFF"/>
        <sz val="10.0"/>
      </rPr>
      <t xml:space="preserve"> Programs of Study Update</t>
    </r>
  </si>
  <si>
    <t>TEA CTE TEKS, Courses, Credits, and PreReqs</t>
  </si>
  <si>
    <t>Updated Review of Students</t>
  </si>
  <si>
    <t>Notes for Campus</t>
  </si>
  <si>
    <t>CTE Reviewed / Added IBCs</t>
  </si>
  <si>
    <t># of Elective/Science CTE Courses:</t>
  </si>
  <si>
    <t>Person doing Aug Review - GREEN WHEN DONE</t>
  </si>
  <si>
    <t>Name(s) of Elective/Science CTE Courses:</t>
  </si>
  <si>
    <t>1 - Robotics</t>
  </si>
  <si>
    <t xml:space="preserve">CTE Campus-Based Program of Study Priority #1: </t>
  </si>
  <si>
    <t xml:space="preserve">Principles of AV, Animation, Film, </t>
  </si>
  <si>
    <t xml:space="preserve">Marketing and Sales </t>
  </si>
  <si>
    <t>Course Title</t>
  </si>
  <si>
    <t>TEA PEIMS #</t>
  </si>
  <si>
    <t>Checked Course Pre-Req?</t>
  </si>
  <si>
    <t>CTE Campus-Based Program of Study Priority #1: Graphic Design &amp; Multimedia Arts - (Animation)</t>
  </si>
  <si>
    <t>Automotive</t>
  </si>
  <si>
    <t>Course Level</t>
  </si>
  <si>
    <t># of Credits</t>
  </si>
  <si>
    <t>Max Capacity of Courses</t>
  </si>
  <si>
    <t># of Students</t>
  </si>
  <si>
    <t>Teacher's Name(s)</t>
  </si>
  <si>
    <t>Teacher's Certification(s) for Course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</si>
  <si>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</si>
  <si>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BMF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</si>
  <si>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</si>
  <si>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Automotive Basics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</si>
  <si>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</si>
  <si>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AV
Course in another POS</t>
  </si>
  <si>
    <t>Level 1</t>
  </si>
  <si>
    <t>Possible vacancy for Entrepreneurship. Teacher was excessed.</t>
  </si>
  <si>
    <t>Vincent Beck</t>
  </si>
  <si>
    <t>Ybarra</t>
  </si>
  <si>
    <t xml:space="preserve"> Trevino, Juan
Galbreath, Milton</t>
  </si>
  <si>
    <t>Technology Education (Grades 6-12)</t>
  </si>
  <si>
    <t>DOI
Trade &amp; Industrial 6-12</t>
  </si>
  <si>
    <t>ASE Refrigerant &amp; Handling 609</t>
  </si>
  <si>
    <t>Loni</t>
  </si>
  <si>
    <t>Marketing</t>
  </si>
  <si>
    <t>Animation I</t>
  </si>
  <si>
    <t>Automotive Technology I</t>
  </si>
  <si>
    <t>N1303424</t>
  </si>
  <si>
    <t>Level 2</t>
  </si>
  <si>
    <t>Adrian Zambrano</t>
  </si>
  <si>
    <t xml:space="preserve">Galbreath, Milton </t>
  </si>
  <si>
    <r>
      <rPr>
        <rFont val="Roboto, RobotoDraft, Helvetica, Arial, sans-serif"/>
        <color rgb="FF000000"/>
      </rPr>
      <t xml:space="preserve">Technology Applications (EC-12)
</t>
    </r>
    <r>
      <rPr>
        <rFont val="Roboto, RobotoDraft, Helvetica, Arial, sans-serif"/>
        <color rgb="FFFF0000"/>
      </rPr>
      <t>DOI</t>
    </r>
  </si>
  <si>
    <t>Entrepreneurship and Small Business</t>
  </si>
  <si>
    <t>Trade &amp; Industrial 6-12</t>
  </si>
  <si>
    <t>ASE Entry-Level Automobile Service Technology</t>
  </si>
  <si>
    <t>Entrepreneurship</t>
  </si>
  <si>
    <t>Animation II</t>
  </si>
  <si>
    <t>Automotive Technology II</t>
  </si>
  <si>
    <t>LeDay</t>
  </si>
  <si>
    <t>Level 3</t>
  </si>
  <si>
    <t>Retail Management</t>
  </si>
  <si>
    <t>N1303420</t>
  </si>
  <si>
    <t>Roberts will finish her pathway of juniors and seniors and will also teach digital media</t>
  </si>
  <si>
    <t>Vara, Eric</t>
  </si>
  <si>
    <r>
      <rPr>
        <rFont val="Roboto, RobotoDraft, Helvetica, Arial, sans-serif"/>
        <color rgb="FF000000"/>
      </rPr>
      <t xml:space="preserve">Technology Applications (EC-12)
</t>
    </r>
    <r>
      <rPr>
        <rFont val="Roboto, RobotoDraft, Helvetica, Arial, sans-serif"/>
        <color rgb="FFFF0000"/>
      </rPr>
      <t>DOI</t>
    </r>
  </si>
  <si>
    <t>DOI</t>
  </si>
  <si>
    <t>Adobe Certified Professional In Visual Effects and Motion Graphics Using Adobe After Effects</t>
  </si>
  <si>
    <t>ASE Entry-Level Automobile Maintenance and Light Repair (MR)
ASE Entry-Level Automobile Electronic/Electrical Systems (EE)
ASE Entry-Level Automobile Brakes (BR)
ASE Entry-Level Automobile Suspension and Steering (SS)</t>
  </si>
  <si>
    <t>Jeremy</t>
  </si>
  <si>
    <t>Practicum Transportation Systems</t>
  </si>
  <si>
    <t xml:space="preserve">Practicum in Animation </t>
  </si>
  <si>
    <t>Johnson</t>
  </si>
  <si>
    <t>Pending DOI</t>
  </si>
  <si>
    <t>Level 4</t>
  </si>
  <si>
    <t>Social Media Marketing</t>
  </si>
  <si>
    <r>
      <rPr>
        <rFont val="Roboto, RobotoDraft, Helvetica, Arial, sans-serif"/>
        <color rgb="FF000000"/>
      </rPr>
      <t xml:space="preserve">Technology Applications (EC-12)
</t>
    </r>
    <r>
      <rPr>
        <rFont val="Roboto, RobotoDraft, Helvetica, Arial, sans-serif"/>
        <color rgb="FFFF0000"/>
      </rPr>
      <t>DOI</t>
    </r>
  </si>
  <si>
    <t>Student Social Media Marketing</t>
  </si>
  <si>
    <t>No changes</t>
  </si>
  <si>
    <t>Totals</t>
  </si>
  <si>
    <t>Fashion Marketing</t>
  </si>
  <si>
    <t>MOISES E MOLINA H S</t>
  </si>
  <si>
    <t>Sports and Entertainment Marketing</t>
  </si>
  <si>
    <t>3 Vacancies-Culinary Arts</t>
  </si>
  <si>
    <t>Sports and Entertainment Marketing II</t>
  </si>
  <si>
    <t>HILLCREST H S</t>
  </si>
  <si>
    <t>Advanced Marketing</t>
  </si>
  <si>
    <t>CTE Campus-Based Program of Study Priority #2: Digital Communications</t>
  </si>
  <si>
    <t>THOMAS JEFFERSON H S</t>
  </si>
  <si>
    <t xml:space="preserve">CTE Campus-Based Program of Study Priority #3: </t>
  </si>
  <si>
    <t>Practicum in Marketing</t>
  </si>
  <si>
    <t>Accounting and Financial Services (program is phasing out)</t>
  </si>
  <si>
    <t>Possible vacancy-BMF</t>
  </si>
  <si>
    <t>Tomiko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</si>
  <si>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</si>
  <si>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Womack</t>
  </si>
  <si>
    <t>JUSTIN F KIMBALL H 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</si>
  <si>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</si>
  <si>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Accounting 1</t>
  </si>
  <si>
    <t>BMF</t>
  </si>
  <si>
    <t>Shayla Roberts</t>
  </si>
  <si>
    <t>Business Finance 6-12</t>
  </si>
  <si>
    <t>LINCOLN HUMANITIES/COMMUNICATIONS MAGNET H</t>
  </si>
  <si>
    <t>Intuit Quickbooks</t>
  </si>
  <si>
    <t>Audio Video Production I</t>
  </si>
  <si>
    <t>Financial Analysis</t>
  </si>
  <si>
    <t>Certification needed for Knighten</t>
  </si>
  <si>
    <t>Trenton Starks</t>
  </si>
  <si>
    <t>Tech Apps</t>
  </si>
  <si>
    <t>Audio Video Production II</t>
  </si>
  <si>
    <t>MB 920 Microsoft Fundamentals
or
Intuit Quickbooks</t>
  </si>
  <si>
    <t>Securitites and Invenstments</t>
  </si>
  <si>
    <t>L G PINKSTON H S</t>
  </si>
  <si>
    <t xml:space="preserve">CTE Campus-Based Program of Study Priority #2: </t>
  </si>
  <si>
    <t>Engineering Foundations (PLTW)</t>
  </si>
  <si>
    <t>Adobe Certified Professional in Digital Video Using Adobe Premiere Pro</t>
  </si>
  <si>
    <t xml:space="preserve">Practicum of Audio Video Production </t>
  </si>
  <si>
    <t>Need to revisit change from CS I to Foundations of UX</t>
  </si>
  <si>
    <t>Career Preparation I</t>
  </si>
  <si>
    <t>Jason</t>
  </si>
  <si>
    <t>Updated # of Students</t>
  </si>
  <si>
    <t>FRANKLIN D ROOSEVELT H 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</si>
  <si>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</si>
  <si>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Introduction to Engineering Design (PLTW)</t>
  </si>
  <si>
    <t>Extended Career Prep</t>
  </si>
  <si>
    <t>N1303742</t>
  </si>
  <si>
    <t>(Fire Science)</t>
  </si>
  <si>
    <t>W W SAMUELL H S</t>
  </si>
  <si>
    <t xml:space="preserve">* Architeure Interior Design PoS: Add LEED Green Associate
* Follow up for Business pathway; specifically Level 2 &amp; Level 3 courses
</t>
  </si>
  <si>
    <t>Sparks</t>
  </si>
  <si>
    <t>Science (7-12)</t>
  </si>
  <si>
    <t>Autodesk Fusion 360</t>
  </si>
  <si>
    <t>SEAGOVILLE H S</t>
  </si>
  <si>
    <t>Engineering Science</t>
  </si>
  <si>
    <t>*changes in BMF courses</t>
  </si>
  <si>
    <t>Kalat</t>
  </si>
  <si>
    <t>Jess</t>
  </si>
  <si>
    <t>Mathematics/Physical Science/Engineering
Grades (6-12)</t>
  </si>
  <si>
    <t>Aerospace Engineering (PLTW)</t>
  </si>
  <si>
    <t>SOUTH OAK CLIFF H S</t>
  </si>
  <si>
    <t>N1303745</t>
  </si>
  <si>
    <t>CTE Campus-Based Program of Study Priority #3: Graphic Design &amp; Multimedia Arts - (Video Gaming)</t>
  </si>
  <si>
    <t>Lead Teacher was by herself, there was no administrative presence during their time</t>
  </si>
  <si>
    <t>Autodesk Inventor</t>
  </si>
  <si>
    <t>Environmental Sustainability (PLTW)</t>
  </si>
  <si>
    <t>H GRADY SPRUCE H S</t>
  </si>
  <si>
    <t>N1303746</t>
  </si>
  <si>
    <t xml:space="preserve">CTE Campus-Based Program of Study Priority #4: </t>
  </si>
  <si>
    <t>Marketing and Sales (program is phasing out)</t>
  </si>
  <si>
    <t>* need a follow up on Arts A/V courses
* Automotive Collision: Added ASE 609 Certification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</si>
  <si>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</si>
  <si>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Engineering Design and Development (PLTW)</t>
  </si>
  <si>
    <t>SUNSET H S</t>
  </si>
  <si>
    <t>N1303749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</si>
  <si>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</si>
  <si>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Video Game Design</t>
  </si>
  <si>
    <t>W T WHITE H S</t>
  </si>
  <si>
    <t>Kendall Williams</t>
  </si>
  <si>
    <t>Advertising</t>
  </si>
  <si>
    <t>Possible Vacancies-E&amp;T</t>
  </si>
  <si>
    <t>Austin DeLoach</t>
  </si>
  <si>
    <t>Computer Science 8 -12</t>
  </si>
  <si>
    <t>Marcus</t>
  </si>
  <si>
    <t>Video Game Programming</t>
  </si>
  <si>
    <t>N1300994</t>
  </si>
  <si>
    <t>WOODROW WILSON H S</t>
  </si>
  <si>
    <t>Advanced Video Game Programming</t>
  </si>
  <si>
    <t>N1300995</t>
  </si>
  <si>
    <t>New Arts A/V pathway? 
Robotics/drones offered as electives, NOT pathway
1 vacancy for Engineering</t>
  </si>
  <si>
    <t>Alex</t>
  </si>
  <si>
    <t>Practicum in Marketing (DECA Store)</t>
  </si>
  <si>
    <t>DAVID W CARTER H S</t>
  </si>
  <si>
    <t>Culinary Arts</t>
  </si>
  <si>
    <t>Certified Professional Programmer (Unity)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</si>
  <si>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</si>
  <si>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Introduction to Culinary Arts </t>
  </si>
  <si>
    <t>NORTH DALLAS H S</t>
  </si>
  <si>
    <t>Ta'Reel Ewing/Eric Lockley</t>
  </si>
  <si>
    <t>Family &amp; Consumer Science</t>
  </si>
  <si>
    <t>N1302268</t>
  </si>
  <si>
    <t>SKYLINE H S</t>
  </si>
  <si>
    <t>Ta'Reel Ewing</t>
  </si>
  <si>
    <t>Advanced Culinary Arts</t>
  </si>
  <si>
    <t xml:space="preserve">CTE Campus-Based Program of Study Priority #5: </t>
  </si>
  <si>
    <t xml:space="preserve">* Architeure Interior Design PoS: Add LEED Green Associate; Courses that are sunsetting in  IT have been completed </t>
  </si>
  <si>
    <t>Graphic Design and Multimedia Arts (Phasing In)</t>
  </si>
  <si>
    <t>Eric Lockley</t>
  </si>
  <si>
    <t>Certified Fundamentals Cook/ ServSafe Manager</t>
  </si>
  <si>
    <t>SCHOOL OF SCIENCE AND ENGINEERING</t>
  </si>
  <si>
    <t>Practicum in Culinary Arts</t>
  </si>
  <si>
    <t>Needs to be reviewed with campus. Offering more computer science courses than engineering</t>
  </si>
  <si>
    <t>ServSafe Manager</t>
  </si>
  <si>
    <t>EMMETT J CONRAD H 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</si>
  <si>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</si>
  <si>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Digital Media</t>
  </si>
  <si>
    <t>JAMES MADISON H S</t>
  </si>
  <si>
    <t>New CTE courses</t>
  </si>
  <si>
    <t>Nicholette Shaw,Roberts</t>
  </si>
  <si>
    <t>Kim</t>
  </si>
  <si>
    <t>Graphic Design and Illustration I</t>
  </si>
  <si>
    <t>SCHOOL OF BUSINESS AND MANAGEMENT</t>
  </si>
  <si>
    <t>Law Enforcement (Sunsetting; going to P-Tech)</t>
  </si>
  <si>
    <t>IT is complete!</t>
  </si>
  <si>
    <t>Nancy Salas</t>
  </si>
  <si>
    <t>BOOKER T WASHINGTON SPVA MAGNET</t>
  </si>
  <si>
    <t>Technology Education Grades (6-12)</t>
  </si>
  <si>
    <t>Adobe Certified Professional in Visual Design Using Adobe Photoshop</t>
  </si>
  <si>
    <t>Graphic Design and Illustration II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</si>
  <si>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</si>
  <si>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Law Enforcement I</t>
  </si>
  <si>
    <t>IRMA LERMA RANGEL YOUNG WOMEN'S LEADERSHIP</t>
  </si>
  <si>
    <t>Michelle Celis/Salas</t>
  </si>
  <si>
    <t>Technology Applications Grade (EC-12)</t>
  </si>
  <si>
    <t>Practicum in Graphic Design and Illustration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</si>
  <si>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</si>
  <si>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Rock</t>
  </si>
  <si>
    <t>SCHOOL OF HEALTH PROFESSIONS</t>
  </si>
  <si>
    <t>Law Enforcement II</t>
  </si>
  <si>
    <t>Celis</t>
  </si>
  <si>
    <t>ROSIE SORRELLS EDUCATION AND SOCIAL SERVIC</t>
  </si>
  <si>
    <t>IAED Emergency Telecommunicator</t>
  </si>
  <si>
    <t>Forensic Science</t>
  </si>
  <si>
    <t>JUDGE BAREFOOT SANDERS LAW MAGNET</t>
  </si>
  <si>
    <t>Llewellyn Smith</t>
  </si>
  <si>
    <t>Jonathan Smith</t>
  </si>
  <si>
    <t>SCHOOL FOR THE TALENTED AND GIFTED</t>
  </si>
  <si>
    <t>Rhonda</t>
  </si>
  <si>
    <t>KATHLYN J GILLIAM COLLEGIATE ACADEMY</t>
  </si>
  <si>
    <t>Biomedical Science</t>
  </si>
  <si>
    <t xml:space="preserve">CTE Campus-Based Program of Study Priority #6: </t>
  </si>
  <si>
    <t>TRINIDAD GARZA EARLY COLLEGE AT MT VIEW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</si>
  <si>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</si>
  <si>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Biomedical Science (PLTW)</t>
  </si>
  <si>
    <t>N1302092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</si>
  <si>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</si>
  <si>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Money Matters</t>
  </si>
  <si>
    <t>DR WRIGHT L LASSITER JR EARLY COLLEGE H S</t>
  </si>
  <si>
    <t>Bayson</t>
  </si>
  <si>
    <t>Secondary Science Composite (6-12)</t>
  </si>
  <si>
    <t>Human Body Systems (PLTW)</t>
  </si>
  <si>
    <t>N1302093</t>
  </si>
  <si>
    <t>Rodriguez</t>
  </si>
  <si>
    <t>CTE Campus-Based Program of Study Priority #1:  Business Management (sunsetting)</t>
  </si>
  <si>
    <t>Life Science (7-12)</t>
  </si>
  <si>
    <t>WILMER-HUTCHINS H S</t>
  </si>
  <si>
    <t>Medical Interventions (PLTW)</t>
  </si>
  <si>
    <t>N1302094</t>
  </si>
  <si>
    <t>* Automotive Technology: sunsetting June 2025</t>
  </si>
  <si>
    <t>Biotechnician Assistant Credentialing Exam (BACE)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</si>
  <si>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</si>
  <si>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Biomedical Innovation (PLTW)</t>
  </si>
  <si>
    <t>N1302095</t>
  </si>
  <si>
    <t>BARACK OBAMA MALE LEADERSHIP ACA AT BF DAR</t>
  </si>
  <si>
    <t>Want to add Entrepreneurship, not on POS doc.</t>
  </si>
  <si>
    <t>INNOVATION DESIGN ENTREPRENEURSHIP ACADEMY</t>
  </si>
  <si>
    <t>Simmons</t>
  </si>
  <si>
    <t>CITY LAB</t>
  </si>
  <si>
    <t>Business Information Management I</t>
  </si>
  <si>
    <t>* (Robotics courses) wanting to add additional level
* Architeure Interior Design PoS: Add LEED Green Associate</t>
  </si>
  <si>
    <t xml:space="preserve">CTE Campus-Based Program of Study Priority #: </t>
  </si>
  <si>
    <t>NORTH LAKE EARLY COLLEGE HIGH SCHOOL</t>
  </si>
  <si>
    <t>Sebrina Horns</t>
  </si>
  <si>
    <t>Business Education (6-12)</t>
  </si>
  <si>
    <t>Microsoft Office Word or Excel Expert</t>
  </si>
  <si>
    <t>Adding Business 7151</t>
  </si>
  <si>
    <t>CAREER INSTITUTE NORTH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</si>
  <si>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</si>
  <si>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BMF
NOTE: Course in another PoS as well</t>
  </si>
  <si>
    <t>Virtual Business</t>
  </si>
  <si>
    <r>
      <rPr>
        <rFont val="Roboto, RobotoDraft, Helvetica, Arial, sans-serif"/>
        <b/>
        <color rgb="FF000000"/>
      </rPr>
      <t>Are all CI's align with these IBCs for Arch/IND: (YES)</t>
    </r>
    <r>
      <rPr>
        <rFont val="Roboto, RobotoDraft, Helvetica, Arial, sans-serif"/>
        <color rgb="FFFF0000"/>
      </rPr>
      <t xml:space="preserve">
Autodesk Associate Revit/LEED Green Associate
</t>
    </r>
    <r>
      <rPr>
        <rFont val="Roboto, RobotoDraft, Helvetica, Arial, sans-serif"/>
        <color rgb="FF000000"/>
      </rPr>
      <t>Electrical and HVAC Technology: Added SACA C201 Electrical Systems 1 Cert</t>
    </r>
  </si>
  <si>
    <t>CI</t>
  </si>
  <si>
    <t>CAREER INSTITUTE SOUTH</t>
  </si>
  <si>
    <t>Tidwell</t>
  </si>
  <si>
    <t>Business education (6 - 12), Computer science (8 - 12), Technology Applications (8 - 12)</t>
  </si>
  <si>
    <r>
      <rPr>
        <rFont val="Roboto, RobotoDraft, Helvetica, Arial, sans-serif"/>
        <b/>
        <color rgb="FF000000"/>
      </rPr>
      <t>Are all CI's align with these IBCs for Arch/IND: (YES)</t>
    </r>
    <r>
      <rPr>
        <rFont val="Roboto, RobotoDraft, Helvetica, Arial, sans-serif"/>
        <color rgb="FFFF0000"/>
      </rPr>
      <t xml:space="preserve">
Autodesk Associate Revit/LEED Green Associate
</t>
    </r>
    <r>
      <rPr>
        <rFont val="Roboto, RobotoDraft, Helvetica, Arial, sans-serif"/>
        <color rgb="FF000000"/>
      </rPr>
      <t>Electrical and HVAC Technology: Added SACA C201 Electrical Systems 1 Cert</t>
    </r>
  </si>
  <si>
    <t>Elexsis Rambo</t>
  </si>
  <si>
    <t>CAREER INSTITUTE EAST</t>
  </si>
  <si>
    <t>White</t>
  </si>
  <si>
    <t>Global Business</t>
  </si>
  <si>
    <t>ESB</t>
  </si>
  <si>
    <r>
      <rPr>
        <rFont val="Roboto, RobotoDraft, Helvetica, Arial, sans-serif"/>
        <b/>
        <color rgb="FF000000"/>
      </rPr>
      <t>Are all CI's align with these IBCs for Arch/IND: (YES)</t>
    </r>
    <r>
      <rPr>
        <rFont val="Roboto, RobotoDraft, Helvetica, Arial, sans-serif"/>
        <color rgb="FFFF0000"/>
      </rPr>
      <t xml:space="preserve">
Autodesk Associate Revit/LEED Green Associate
</t>
    </r>
    <r>
      <rPr>
        <rFont val="Roboto, RobotoDraft, Helvetica, Arial, sans-serif"/>
        <color rgb="FF000000"/>
      </rPr>
      <t>Electrical and HVAC Technology: Added SACA C201 Electrical Systems 1 Cert</t>
    </r>
  </si>
  <si>
    <t>ORG?</t>
  </si>
  <si>
    <t>HAYNES GLOBAL PREP</t>
  </si>
  <si>
    <t>Vacancy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</si>
  <si>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</si>
  <si>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Please confirm w/CTE if there will be any CTE courses offered</t>
  </si>
  <si>
    <t>Business Management</t>
  </si>
  <si>
    <t>xxx</t>
  </si>
  <si>
    <t>Entrepreneurship II</t>
  </si>
  <si>
    <t>N1303423</t>
  </si>
  <si>
    <t>Lucas</t>
  </si>
  <si>
    <t>PMI</t>
  </si>
  <si>
    <t>Practicum in Entrepreneurship</t>
  </si>
  <si>
    <t>Jacob Nunez</t>
  </si>
  <si>
    <t>Salem Hussain</t>
  </si>
  <si>
    <t>CTE Campus-Based Program of Study Priority #2: Culinary Arts</t>
  </si>
  <si>
    <t>Graphic Design (No Longer offered)</t>
  </si>
  <si>
    <t xml:space="preserve">  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</si>
  <si>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</si>
  <si>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</si>
  <si>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Zene Amaning</t>
  </si>
  <si>
    <t>Family Consumer Science</t>
  </si>
  <si>
    <t>Enriquez</t>
  </si>
  <si>
    <t>TJ Florie</t>
  </si>
  <si>
    <t>Anatomy &amp; Physiology, Professional Commnications</t>
  </si>
  <si>
    <t>Tom Brandt</t>
  </si>
  <si>
    <t>family Consumer Science</t>
  </si>
  <si>
    <t>2; 3 that are sunsetting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</si>
  <si>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</si>
  <si>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Hospitality and Tourism</t>
  </si>
  <si>
    <t>Anatomy &amp; Physiology, Fundamentals of Real Estate, Robotics</t>
  </si>
  <si>
    <t>Vacant</t>
  </si>
  <si>
    <t>Foundations of Restaurant Management</t>
  </si>
  <si>
    <t>CTE Campus-Based Program of Study Priority #3: Lodging and Resort MAnagement</t>
  </si>
  <si>
    <t>Hospitality and Tourism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</si>
  <si>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</si>
  <si>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 Marketing &amp; Finance</t>
  </si>
  <si>
    <t>Christie Brewer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</si>
  <si>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</si>
  <si>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Lance Williams</t>
  </si>
  <si>
    <t>VACANT</t>
  </si>
  <si>
    <t>Jose Reyes</t>
  </si>
  <si>
    <t>Needs to confirm</t>
  </si>
  <si>
    <t>Rockell Stewart</t>
  </si>
  <si>
    <t>Hotel Management</t>
  </si>
  <si>
    <t>Erika Thomas</t>
  </si>
  <si>
    <t>Business Education/Business Education Grades (6-12)/Secondary Business Composite</t>
  </si>
  <si>
    <t>Travel &amp; Tourism</t>
  </si>
  <si>
    <t>Jonathan Rader</t>
  </si>
  <si>
    <t>Business Education/Health Grades (EC-12)</t>
  </si>
  <si>
    <t>Microsoft Word Expert</t>
  </si>
  <si>
    <t>Tyson Harding</t>
  </si>
  <si>
    <t>Business Information Management II</t>
  </si>
  <si>
    <t>Business Education/Business Education Grades (6-12)</t>
  </si>
  <si>
    <t>Microsoft Excel Expert</t>
  </si>
  <si>
    <t>Nathan Bennett</t>
  </si>
  <si>
    <t>Hospitality Services</t>
  </si>
  <si>
    <t>Mikel Lott</t>
  </si>
  <si>
    <t xml:space="preserve">Digital Communication </t>
  </si>
  <si>
    <t>Human Resource Management</t>
  </si>
  <si>
    <t>Practicum in Hospitality Services/Career Prep</t>
  </si>
  <si>
    <t>7286/7228</t>
  </si>
  <si>
    <t>Law Enforcement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</si>
  <si>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</si>
  <si>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 Art AV Tech Communications</t>
  </si>
  <si>
    <t>Alisha Jones</t>
  </si>
  <si>
    <t>Certified Hospitality &amp; Tourism Management Professional</t>
  </si>
  <si>
    <t>Extended Career Prep 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</si>
  <si>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</si>
  <si>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Law, Public Safety, Corrections, &amp; Security</t>
  </si>
  <si>
    <t>Secondary Business Composite</t>
  </si>
  <si>
    <t>Extended Career Prep II</t>
  </si>
  <si>
    <t>Derrick Knighten</t>
  </si>
  <si>
    <t>Digital Comm in 21st Century</t>
  </si>
  <si>
    <t>Jamie Garcia</t>
  </si>
  <si>
    <t>CTE Campus-Based Program of Study Priority #4: Law Enforcement</t>
  </si>
  <si>
    <t>Cory Duncan</t>
  </si>
  <si>
    <t>Proff Comm</t>
  </si>
  <si>
    <t>Trade and Industrial Education, Law Enforcement/Criminal Justice Law</t>
  </si>
  <si>
    <t xml:space="preserve">IAED Emergency Telecommunicator </t>
  </si>
  <si>
    <t>Pracicum in Law, Public Safety, Corrections, &amp; Security</t>
  </si>
  <si>
    <t>Web Communications</t>
  </si>
  <si>
    <t>Audio/Video I</t>
  </si>
  <si>
    <t>Entreprenuership (Sunsetting 2024-2025)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</si>
  <si>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</si>
  <si>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Law, Public Safety, Corrections and Security</t>
  </si>
  <si>
    <t>Audio/Video II</t>
  </si>
  <si>
    <t>James Beasley #232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</si>
  <si>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</si>
  <si>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CTE Campus-Based Program of Study Priority #3: Business Management</t>
  </si>
  <si>
    <t xml:space="preserve">Adobe Certified Professional in Digital Video Using Adobe Premiere Pro
</t>
  </si>
  <si>
    <t>Practicum in Audio/Video Production</t>
  </si>
  <si>
    <t xml:space="preserve">Entrepreneurship </t>
  </si>
  <si>
    <t>Marvis Mosley #234</t>
  </si>
  <si>
    <t>Trade and Industrial Education (8-12)</t>
  </si>
  <si>
    <t>Joe Boone</t>
  </si>
  <si>
    <t>Speech (8 - 12)</t>
  </si>
  <si>
    <t>Marketing &amp; Sales (Sunsetting 2025-2026)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</si>
  <si>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</si>
  <si>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 Marketing and Finance
Course in another POS</t>
  </si>
  <si>
    <t xml:space="preserve">IAED  Emergency Telecommunicator </t>
  </si>
  <si>
    <t>Correctional Services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</si>
  <si>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</si>
  <si>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 McMillan</t>
  </si>
  <si>
    <t>Business Education Grades (6-12)</t>
  </si>
  <si>
    <t>Practicum of Law, Public Safety</t>
  </si>
  <si>
    <t>BIM 1 
Course in another POS</t>
  </si>
  <si>
    <t>Marvis Mosley</t>
  </si>
  <si>
    <t>C. McMillan</t>
  </si>
  <si>
    <t>MOS Word Expert or Excel Expert</t>
  </si>
  <si>
    <t>Stukent Social Media Marketing</t>
  </si>
  <si>
    <t>Entrepreneurship I</t>
  </si>
  <si>
    <t>Fundamentals of Real Estate</t>
  </si>
  <si>
    <t>N1301120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</si>
  <si>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</si>
  <si>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Intro. to Culinary Arts</t>
  </si>
  <si>
    <t>C. Hinton</t>
  </si>
  <si>
    <t>DOI/
Business &amp; Finance (6-12)</t>
  </si>
  <si>
    <t>Business Education</t>
  </si>
  <si>
    <t xml:space="preserve">Entrepreneurship II </t>
  </si>
  <si>
    <t xml:space="preserve">N1303423 </t>
  </si>
  <si>
    <t>Paula Lewis</t>
  </si>
  <si>
    <t>Trade &amp; Industrual Education - Culinary Arts</t>
  </si>
  <si>
    <t>B Harris</t>
  </si>
  <si>
    <t>Business &amp; Finance (6-12)
Secondary Business Administration Grades (6-12)</t>
  </si>
  <si>
    <t>L Gutierrez</t>
  </si>
  <si>
    <t>Biomedical Science (Sunsetting)</t>
  </si>
  <si>
    <t>N1303425</t>
  </si>
  <si>
    <t>Business &amp; Finance (6-12)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</si>
  <si>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</si>
  <si>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Johnny Gallardo</t>
  </si>
  <si>
    <t>Biomedical Innovations (PLTW)</t>
  </si>
  <si>
    <t>Business Management (Sunsetting)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</si>
  <si>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</si>
  <si>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</si>
  <si>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Money Matters (elective)</t>
  </si>
  <si>
    <t>Engineering</t>
  </si>
  <si>
    <t>TEA Course #</t>
  </si>
  <si>
    <t>Onamacritus Eutsey</t>
  </si>
  <si>
    <t>Office Education 6-12</t>
  </si>
  <si>
    <t>Benjamin Jones</t>
  </si>
  <si>
    <t>Accounting I (elective)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</si>
  <si>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</si>
  <si>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Sonia Loskot</t>
  </si>
  <si>
    <t>Michelle Okura</t>
  </si>
  <si>
    <t>Mathematics (8-12)</t>
  </si>
  <si>
    <t>Quickbooks</t>
  </si>
  <si>
    <t>Digital Electronics (PLTW)</t>
  </si>
  <si>
    <t>Secondary Business Administration Grades (6-12)</t>
  </si>
  <si>
    <t>DIane Combs</t>
  </si>
  <si>
    <t>office Education 6-12/ Office Education 6-12</t>
  </si>
  <si>
    <t>Microsoft Word</t>
  </si>
  <si>
    <t>Project Managment Ready</t>
  </si>
  <si>
    <t>Engineering Science (PLTW)</t>
  </si>
  <si>
    <t>Joseph Blevins</t>
  </si>
  <si>
    <t>Engineering Development &amp; Design (PLTW)</t>
  </si>
  <si>
    <t>Daniel Alexander</t>
  </si>
  <si>
    <t>Business and Finance 6-12</t>
  </si>
  <si>
    <t>Computer Integrated Manufacturing (PLTW)</t>
  </si>
  <si>
    <t>N1303748</t>
  </si>
  <si>
    <t>Anatomy &amp; Physiology, BIM I, BIM II, Professional Communications, Global Business, Virtual Business, Dollars &amp; Sense</t>
  </si>
  <si>
    <t>Civil Engineering &amp; Architecture (PLTW)</t>
  </si>
  <si>
    <t>N1303747</t>
  </si>
  <si>
    <t>Graphic Design and Multimedia: Emphasis -  “Animation” (Sunset 2024-2025)</t>
  </si>
  <si>
    <t>Autodesk Associate Revit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</si>
  <si>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</si>
  <si>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Animation</t>
  </si>
  <si>
    <t>13008450/ 13009000</t>
  </si>
  <si>
    <t>vbg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</si>
  <si>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</si>
  <si>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Introduction to Culinary Arts</t>
  </si>
  <si>
    <t>Michael McMoran</t>
  </si>
  <si>
    <t>Technology Applications (EC-12)/ Technology Applications (EC-12) &amp; Business Education (6-12)</t>
  </si>
  <si>
    <t>Adobe Certified Professional In Visual Effects and Motion Graphics Using Adobe
After Effects</t>
  </si>
  <si>
    <t>Stephen Drake</t>
  </si>
  <si>
    <t>Vickie Johnson</t>
  </si>
  <si>
    <t xml:space="preserve">N1302268 </t>
  </si>
  <si>
    <t>D</t>
  </si>
  <si>
    <t>Servsafe Manager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</si>
  <si>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</si>
  <si>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Tameca Ward</t>
  </si>
  <si>
    <t>Lisa Vega</t>
  </si>
  <si>
    <t>Abram Joseph</t>
  </si>
  <si>
    <t>Dwain Simmons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</si>
  <si>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</si>
  <si>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  <sz val="11.0"/>
      </rPr>
      <t xml:space="preserve">CTE Campus-Based Program of Study Priority #2: </t>
    </r>
    <r>
      <rPr>
        <rFont val="Arial"/>
        <b/>
        <color rgb="FFFF0000"/>
        <sz val="11.0"/>
      </rPr>
      <t>(Phase-in 23-24)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</si>
  <si>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</si>
  <si>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Business, Marketing &amp; Finance
Course in another POS</t>
  </si>
  <si>
    <t>David Lee</t>
  </si>
  <si>
    <t>Forensic Science, Computer Science I</t>
  </si>
  <si>
    <t xml:space="preserve">Ms. Beverly Lusk </t>
  </si>
  <si>
    <t>John Daniel</t>
  </si>
  <si>
    <t>Business and Finance</t>
  </si>
  <si>
    <t>CTE Campus-Based Program of Study Priority #1: Law Enforcement</t>
  </si>
  <si>
    <t>Janetta Reeves</t>
  </si>
  <si>
    <t>Marketing Education/Technology Education</t>
  </si>
  <si>
    <t>Mark Sterk</t>
  </si>
  <si>
    <t>Health Science: Diagnostic and Therapeutic Services (Sunsetting)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</si>
  <si>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</si>
  <si>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Law</t>
  </si>
  <si>
    <t>Janetta Reeves/Mark Sterk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</si>
  <si>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</si>
  <si>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Health Science</t>
  </si>
  <si>
    <t>Anatomy &amp; Physiology; EDPS, Robotics I, Robotics II, Practicum in Manufacturing</t>
  </si>
  <si>
    <t>Johnitta Williams</t>
  </si>
  <si>
    <t>Trade and Industrial</t>
  </si>
  <si>
    <t>CTE Campus-Based Program of Study Priority #1: Biomedical Science</t>
  </si>
  <si>
    <t>Leslie Cook</t>
  </si>
  <si>
    <t>Medical Terminolgy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</si>
  <si>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</si>
  <si>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PLTW: Prin. of Biomedical Sci</t>
  </si>
  <si>
    <t>Practicum in Health Science</t>
  </si>
  <si>
    <t>Patient Care Technician (CPCT)</t>
  </si>
  <si>
    <t>Scientific Research and Design</t>
  </si>
  <si>
    <t>Justin George</t>
  </si>
  <si>
    <t>Science (4-8) (7-12)</t>
  </si>
  <si>
    <t>BIotechnology</t>
  </si>
  <si>
    <t>Gary Stuckey</t>
  </si>
  <si>
    <t>Science 7-12</t>
  </si>
  <si>
    <t>Brandi Stennis</t>
  </si>
  <si>
    <t>PLTW: Human Body Systems</t>
  </si>
  <si>
    <t>Marketing &amp; Sales</t>
  </si>
  <si>
    <t>PLTW: Medical Interventions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</si>
  <si>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</si>
  <si>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PLTW: Biomedical Innovations</t>
  </si>
  <si>
    <t>CTE Campus-Based Program of Study Priority #2:  Acounting and Financial Services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</si>
  <si>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</si>
  <si>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Introduction to Culinary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</si>
  <si>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</si>
  <si>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Marketing Education</t>
  </si>
  <si>
    <t>Principles of Business, Marketing, and Finance</t>
  </si>
  <si>
    <t>Tiffany Hubbard</t>
  </si>
  <si>
    <t>Trades and Industrial-Culinary Arts</t>
  </si>
  <si>
    <t>Jacquelyne Spann</t>
  </si>
  <si>
    <t xml:space="preserve"> CTE Campus-Based Program of Study Priority #2:  Accounting and Financial Services</t>
  </si>
  <si>
    <t>Cheryll Harris/Tiffany Hubbard</t>
  </si>
  <si>
    <t>Family &amp; Consumer Sciences 6-12</t>
  </si>
  <si>
    <t>Accounting I</t>
  </si>
  <si>
    <t>Accounting and Financial Services</t>
  </si>
  <si>
    <t>Advanced Culinary</t>
  </si>
  <si>
    <t>Advanced Marketing (DECA Store)</t>
  </si>
  <si>
    <t>Cheryll Harris</t>
  </si>
  <si>
    <t>Shawonzo Harley</t>
  </si>
  <si>
    <t xml:space="preserve"> Business and Finance</t>
  </si>
  <si>
    <t xml:space="preserve">Quickbooks </t>
  </si>
  <si>
    <t>Technology Education (6-12)</t>
  </si>
  <si>
    <t xml:space="preserve"> Career Prep 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</si>
  <si>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</si>
  <si>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Practicum in Entrepreneurship </t>
  </si>
  <si>
    <t>Helena Mosely</t>
  </si>
  <si>
    <t>DOI/Office Education</t>
  </si>
  <si>
    <t>Tracey Haynes</t>
  </si>
  <si>
    <t>Business Education 6 - 12</t>
  </si>
  <si>
    <t>Deborah Lynch</t>
  </si>
  <si>
    <t>BIM 1</t>
  </si>
  <si>
    <t>CTE Campus-Based Program of Study Priority #3: Fire Science</t>
  </si>
  <si>
    <t>Office Education</t>
  </si>
  <si>
    <t xml:space="preserve"> Microsoft Excel Expert</t>
  </si>
  <si>
    <t>Engineering Foundations (Sunsetting) 26-27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</si>
  <si>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</si>
  <si>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Priciples of Law and Public Safety</t>
  </si>
  <si>
    <t>Kiona Archie</t>
  </si>
  <si>
    <t>Securities and Investments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</si>
  <si>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</si>
  <si>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Engineering Design &amp; Development (PLTW)</t>
  </si>
  <si>
    <t xml:space="preserve"> N1303749</t>
  </si>
  <si>
    <t>CTE Campus-Based Program of Study Priority #3: Web Development</t>
  </si>
  <si>
    <t>Clinton Davis</t>
  </si>
  <si>
    <t>Brett Paschel</t>
  </si>
  <si>
    <t>Office Education/Business&amp;Finance</t>
  </si>
  <si>
    <t>Trade and Industrial Education Grades (8-12)</t>
  </si>
  <si>
    <t>VITA</t>
  </si>
  <si>
    <t>Diaster Response</t>
  </si>
  <si>
    <t>N1303011</t>
  </si>
  <si>
    <t>Digital Electronics</t>
  </si>
  <si>
    <t>Pamela Toney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</si>
  <si>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</si>
  <si>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Brett Paschell</t>
  </si>
  <si>
    <t>DOI/Trade and Industrial Education Grades (8-12)</t>
  </si>
  <si>
    <t>Scientific Research &amp; Design</t>
  </si>
  <si>
    <t>Technology Applications (EC-12) &amp; Business Education (6-12)/Business &amp; Finance</t>
  </si>
  <si>
    <t>Principles of Information Technology</t>
  </si>
  <si>
    <t>Ward Coats</t>
  </si>
  <si>
    <t>Life Science (8-12), Science (8-12)</t>
  </si>
  <si>
    <t>Betty Wafer</t>
  </si>
  <si>
    <t>Firefighter I</t>
  </si>
  <si>
    <t>Desiree Johnson</t>
  </si>
  <si>
    <t>Practicum of Business</t>
  </si>
  <si>
    <t>Technology Applications (EC-12) &amp; Business Education (6-12)</t>
  </si>
  <si>
    <t>Career Prep</t>
  </si>
  <si>
    <t>12701300/
12701305</t>
  </si>
  <si>
    <t>Practicum of Law and Public Safety</t>
  </si>
  <si>
    <t>Steven Daniels</t>
  </si>
  <si>
    <t>---------------------------------------------------------</t>
  </si>
  <si>
    <t xml:space="preserve">Foundations of UX (pending) </t>
  </si>
  <si>
    <t>N1302809</t>
  </si>
  <si>
    <t>Christosha McDonald</t>
  </si>
  <si>
    <t xml:space="preserve"> CodeHS Web Design Level 1 Certification</t>
  </si>
  <si>
    <t>Computer Science I</t>
  </si>
  <si>
    <t>Web Design</t>
  </si>
  <si>
    <t>Information Technology Specialist: HTML and CSS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</si>
  <si>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</si>
  <si>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Independent Study in Evolving/Emerging Technologies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</si>
  <si>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</si>
  <si>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SirCalvin Wallace</t>
  </si>
  <si>
    <t>Gabriel J Guerra</t>
  </si>
  <si>
    <t>Hector Martinez</t>
  </si>
  <si>
    <t>Willie Fred Johnson</t>
  </si>
  <si>
    <t>Arnoldo Zuniga</t>
  </si>
  <si>
    <t>Umoja Turner</t>
  </si>
  <si>
    <t>Michael Jackson</t>
  </si>
  <si>
    <t>See Below</t>
  </si>
  <si>
    <r>
      <rPr>
        <rFont val="Arial"/>
        <color theme="1"/>
      </rPr>
      <t xml:space="preserve">Please complete all GREEN sections for each CTE Campus-Based Program of Study.
</t>
    </r>
    <r>
      <rPr>
        <rFont val="Arial"/>
        <b/>
        <color theme="1"/>
        <sz val="8.0"/>
      </rPr>
      <t xml:space="preserve">Campuses should prioitize creating Programs of Study focused on students becoming CTE Completers.
CTE Explorers: </t>
    </r>
    <r>
      <rPr>
        <rFont val="Arial"/>
        <color theme="1"/>
        <sz val="8.0"/>
      </rPr>
      <t xml:space="preserve">2+ CTE Courses for 2+ Credits in different Programs of Study
</t>
    </r>
    <r>
      <rPr>
        <rFont val="Arial"/>
        <b/>
        <color theme="1"/>
        <sz val="8.0"/>
      </rPr>
      <t>CTE Concentrator:</t>
    </r>
    <r>
      <rPr>
        <rFont val="Arial"/>
        <color theme="1"/>
        <sz val="8.0"/>
      </rPr>
      <t xml:space="preserve"> 2+ CTE Courses for 2+ Credits in the same Program of Study
</t>
    </r>
    <r>
      <rPr>
        <rFont val="Arial"/>
        <b/>
        <color theme="1"/>
        <sz val="8.0"/>
      </rPr>
      <t>CTE Completer:</t>
    </r>
    <r>
      <rPr>
        <rFont val="Arial"/>
        <color theme="1"/>
        <sz val="8.0"/>
      </rPr>
      <t xml:space="preserve"> 3+ CTE Courses for 4+ Credits in the same Program of Study, including one level 3 or level 4 course within same Program of Study</t>
    </r>
  </si>
  <si>
    <t>Architectual Design (Sunsetting 2026-2027)</t>
  </si>
  <si>
    <t>CTE Campus-Based Program of Study Priority #1: Business Management</t>
  </si>
  <si>
    <t>CTE Campus-Based Program of Study Priority #1: Programming and Software Development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</si>
  <si>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</si>
  <si>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Architectural Design 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</si>
  <si>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</si>
  <si>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</si>
  <si>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AP Computer Science Principles-LOTE</t>
  </si>
  <si>
    <t>Princ. BMF
Course in another POS</t>
  </si>
  <si>
    <t>A3580110</t>
  </si>
  <si>
    <t>Francine Taylor</t>
  </si>
  <si>
    <t>Jesus Martinez</t>
  </si>
  <si>
    <t>Lyons, Daniel</t>
  </si>
  <si>
    <t>Trade and Industrial Education (6-12)</t>
  </si>
  <si>
    <t xml:space="preserve">Autodesk Associate AutoCAD or  Revit Architecture </t>
  </si>
  <si>
    <t>Architectual  Design II</t>
  </si>
  <si>
    <t>Aaron Cadle</t>
  </si>
  <si>
    <t>Computer Science 6-12</t>
  </si>
  <si>
    <t>Miller/Johnson, D. /Issac</t>
  </si>
  <si>
    <t>Both DOI</t>
  </si>
  <si>
    <t>Business Law</t>
  </si>
  <si>
    <t>Practicum in Architectual Design</t>
  </si>
  <si>
    <t>Sean Miller</t>
  </si>
  <si>
    <t>Practicum in Business Management I</t>
  </si>
  <si>
    <t>Autodesk Associate AutoCAD, Revit, or LEED Green Associate</t>
  </si>
  <si>
    <t>Desiree Hartford</t>
  </si>
  <si>
    <t>Business Mgmt</t>
  </si>
  <si>
    <t>AP CS Exam</t>
  </si>
  <si>
    <t>Game Programming &amp; Design</t>
  </si>
  <si>
    <t>Anatomy and Physiology, Mobile Applications, Computer Science 1</t>
  </si>
  <si>
    <t>Project Management Ready</t>
  </si>
  <si>
    <t>Career Prep I
Course in another POS</t>
  </si>
  <si>
    <t>Robert Burton</t>
  </si>
  <si>
    <t>Ms. S Toney</t>
  </si>
  <si>
    <t>AP Computer Science A Math</t>
  </si>
  <si>
    <t>Standard Business Education</t>
  </si>
  <si>
    <t>A3580300</t>
  </si>
  <si>
    <t>Ind Studies in Tech Apps</t>
  </si>
  <si>
    <t>Automotive Collision</t>
  </si>
  <si>
    <t>Computer Science Honors (Advanced)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</si>
  <si>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</si>
  <si>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</si>
  <si>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CTE Campus-Based Program of Study Priority #2: Marketing and Sales</t>
  </si>
  <si>
    <t xml:space="preserve">Energy &amp; Power of Transportation Systems- 7204 </t>
  </si>
  <si>
    <t>Evans, Kendrick</t>
  </si>
  <si>
    <t>Businss Education (6-12)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</si>
  <si>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</si>
  <si>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Winter, Mathew</t>
  </si>
  <si>
    <t>Collision Repair &amp; Refinishing- 7213</t>
  </si>
  <si>
    <t xml:space="preserve"> Whitley/Evans</t>
  </si>
  <si>
    <t>ASE Entry-Level Collision Mechanical and Electrical
ASE Entry-Level Collision Non-structural Analysis and Damage Repair
ASE Entry-Level Collision Painting and Refinishing
ASE Entry-Level Collision Structural Analysis and Damage Repair</t>
  </si>
  <si>
    <t>Paint &amp; Refinishing- 7214</t>
  </si>
  <si>
    <t>Jeffery Hartford</t>
  </si>
  <si>
    <t>Business and Finance (6-12)</t>
  </si>
  <si>
    <t>Cano, Greg</t>
  </si>
  <si>
    <t>Vocational Trade &amp; Industrial 6-12</t>
  </si>
  <si>
    <t>Practicum in Transportation Systems- 7860</t>
  </si>
  <si>
    <t>Devoya Johnson</t>
  </si>
  <si>
    <t xml:space="preserve">Advertising </t>
  </si>
  <si>
    <t>Alexia Issac</t>
  </si>
  <si>
    <t>Cassandra Whitley</t>
  </si>
  <si>
    <t>Sports Entertainment Marketing</t>
  </si>
  <si>
    <t>Career Preparation Practice A/B/C</t>
  </si>
  <si>
    <t>Herman Johnson</t>
  </si>
  <si>
    <t>Hartford, Jeffery</t>
  </si>
  <si>
    <t>Standard Office Education, Trade and Industrial Education</t>
  </si>
  <si>
    <t>Secondary Business Administration (6-12), Trade and Industrial Education (8-12)</t>
  </si>
  <si>
    <t>Ledarius Gaut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</si>
  <si>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</si>
  <si>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Business, Marketing, &amp; Finance- 7151</t>
  </si>
  <si>
    <t>Green, Lonzella</t>
  </si>
  <si>
    <t>Business Education 6-12</t>
  </si>
  <si>
    <t>Business Information Management I- 7154</t>
  </si>
  <si>
    <r>
      <rPr>
        <rFont val="Arial"/>
        <b/>
        <color rgb="FFFFFFFF"/>
        <sz val="11.0"/>
      </rPr>
      <t xml:space="preserve">CTE Campus-Based Program of Study Priority #3: Entrepreneurship </t>
    </r>
    <r>
      <rPr>
        <rFont val="Arial"/>
        <b/>
        <color rgb="FFFF0000"/>
        <sz val="11.0"/>
      </rPr>
      <t>(Phasing In)</t>
    </r>
  </si>
  <si>
    <t>Early, Everett</t>
  </si>
  <si>
    <t>Microsoft Office Excel EXPERT</t>
  </si>
  <si>
    <t>Business Information Management- 7154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</si>
  <si>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</si>
  <si>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Graphic Design and Interactive Media(Starting August 23)</t>
  </si>
  <si>
    <t>Champion, Latrell</t>
  </si>
  <si>
    <t>Insurance Operations-7419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</si>
  <si>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</si>
  <si>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Volunteer Income Tax Assistance/Tax Counseling Certification: Basic</t>
  </si>
  <si>
    <t>Securities &amp; Investments- 7418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</si>
  <si>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</si>
  <si>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Business Management I &amp; II??</t>
  </si>
  <si>
    <t>Morris, Christopher</t>
  </si>
  <si>
    <t>Technology Applications (6-12)</t>
  </si>
  <si>
    <t>Katherine Mockler</t>
  </si>
  <si>
    <t>Parker, Regina</t>
  </si>
  <si>
    <t>Tech Apps (EC-12), Comp Sci (8-12)</t>
  </si>
  <si>
    <t>3-D Modeling and Animation</t>
  </si>
  <si>
    <t>03580510</t>
  </si>
  <si>
    <t>Rodriguez, Morris</t>
  </si>
  <si>
    <t>Vocational Trades &amp; Industry Pre-Employment (6-12)</t>
  </si>
  <si>
    <t>Autodesk 3ds Max</t>
  </si>
  <si>
    <t xml:space="preserve">Independent Study in Evolving and Emerging Technologies </t>
  </si>
  <si>
    <t>Four</t>
  </si>
  <si>
    <t>Information Technology Support and Services</t>
  </si>
  <si>
    <t>Rodriguez, Marco</t>
  </si>
  <si>
    <t>Extended Career Preparation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</si>
  <si>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</si>
  <si>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Principles Bus, MKG, and Finance, Video Game Design, Principles of A/V Tech, </t>
  </si>
  <si>
    <t>Prin. of IT</t>
  </si>
  <si>
    <t>CTE Campus-Based Program of Study Priority #1: Animal Science</t>
  </si>
  <si>
    <t>Felder, Loretha</t>
  </si>
  <si>
    <t>----------------------------------------------------------------------------------------------------------</t>
  </si>
  <si>
    <t xml:space="preserve">Computer Maintenance </t>
  </si>
  <si>
    <t>King, Iesha</t>
  </si>
  <si>
    <t>Web Development (Sunsetting by 2026)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</si>
  <si>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</si>
  <si>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Agriculture Food</t>
  </si>
  <si>
    <t>Microsoft 365 Certified: Fundamentals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</si>
  <si>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</si>
  <si>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Foundations of UX (Sunset June 2024)</t>
  </si>
  <si>
    <t>Marleigh McGinty</t>
  </si>
  <si>
    <t>Agriculture, Food &amp; Natural Resourrces 6-12</t>
  </si>
  <si>
    <t>Microsoft Certified: Security, Compliance, and Identity Fundamentals</t>
  </si>
  <si>
    <t xml:space="preserve">Independent Study of Technology Applications </t>
  </si>
  <si>
    <t>Small Animal Management</t>
  </si>
  <si>
    <t>Phased out</t>
  </si>
  <si>
    <t>Advanced UX Design (Sunset June 2025)</t>
  </si>
  <si>
    <t>N1302814</t>
  </si>
  <si>
    <t>Tom Grau</t>
  </si>
  <si>
    <t>Practicum of Information Techology</t>
  </si>
  <si>
    <t>Dereck Enderle</t>
  </si>
  <si>
    <t>Beth Wing</t>
  </si>
  <si>
    <t>Equine Management &amp; Evaluation Certification</t>
  </si>
  <si>
    <t>Garett Feimster</t>
  </si>
  <si>
    <t>Equine Science</t>
  </si>
  <si>
    <t>Elanco Fundamentals of Animal Science Certification</t>
  </si>
  <si>
    <t>Veterinary Medical Applications</t>
  </si>
  <si>
    <t>Galloway, Sarah</t>
  </si>
  <si>
    <t>Elanco Veterinary Medical Applications</t>
  </si>
  <si>
    <t>Veterinary  Medicine Lab + Applications</t>
  </si>
  <si>
    <t xml:space="preserve">Certified Veterinary Assistant, Feed Yard Technician in Cattle Care and Handling
</t>
  </si>
  <si>
    <t>CodeHS Web Design</t>
  </si>
  <si>
    <t>Independent in Emerging and Evolving Technologies (Sunset June 2026)</t>
  </si>
  <si>
    <t>Graphic Design and Interactive Media</t>
  </si>
  <si>
    <t>Principals of information Technology, Anatomy and Physiology, Web game development</t>
  </si>
  <si>
    <t>Microsoft Azure AI Fundamentals</t>
  </si>
  <si>
    <t>CTE Campus-Based Program of Study Priority #2: Applied Agricultural Engineering</t>
  </si>
  <si>
    <t>Deshun Parker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</si>
  <si>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</si>
  <si>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</si>
  <si>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 Marketing Finance or BIM 1</t>
  </si>
  <si>
    <t>?</t>
  </si>
  <si>
    <t xml:space="preserve">Agricultural Mechanics </t>
  </si>
  <si>
    <t>Adam Humes</t>
  </si>
  <si>
    <t>Business and Finance/DOI</t>
  </si>
  <si>
    <t xml:space="preserve"> AWS D9.1</t>
  </si>
  <si>
    <t>Meshanda Mitchell</t>
  </si>
  <si>
    <t xml:space="preserve">Business Management </t>
  </si>
  <si>
    <t>Christopher Chevez</t>
  </si>
  <si>
    <t>Agricultural Science &amp; Technology 6-12</t>
  </si>
  <si>
    <t>Agricultural Structures Design</t>
  </si>
  <si>
    <t>Martin/Humes</t>
  </si>
  <si>
    <t>BIM 2</t>
  </si>
  <si>
    <t xml:space="preserve"> AWS D1.1, API 1104</t>
  </si>
  <si>
    <t>Practicum in Agriculture</t>
  </si>
  <si>
    <t>Melissa Martin (Lead)</t>
  </si>
  <si>
    <t>Microsoft Office Word/Excel Expert</t>
  </si>
  <si>
    <t>Jeannette Carlson</t>
  </si>
  <si>
    <t>Business and Finance Grades (6-12)</t>
  </si>
  <si>
    <t>Chandra Hooper-Barnett</t>
  </si>
  <si>
    <t>Katherine Wanserski Eska</t>
  </si>
  <si>
    <t xml:space="preserve">CTE Campus-Based Program of Study Priority #3: Design &amp; Multimedia Arts: Graphic Design
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</si>
  <si>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</si>
  <si>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Principles of Arts A/V Technology Comm. </t>
  </si>
  <si>
    <t>Curtiska Gibbs</t>
  </si>
  <si>
    <t>Tech Apps Grades (EC-12)</t>
  </si>
  <si>
    <t>Marketing and Sales</t>
  </si>
  <si>
    <t>Digital Art</t>
  </si>
  <si>
    <t>Teresa Carrasco</t>
  </si>
  <si>
    <t>Technololgy Education Grades (6-12)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</si>
  <si>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</si>
  <si>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CTE Campus-Based Program of Study Priority #1: Entrepreneurship </t>
  </si>
  <si>
    <t>Digital Communications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</si>
  <si>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</si>
  <si>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Arts, Audio/Video Technology, and
Communications</t>
  </si>
  <si>
    <t>Adobe Certified Professional in Graphic Design and Illustration Using Adobe Illustrator</t>
  </si>
  <si>
    <t>Gysamuell Humes</t>
  </si>
  <si>
    <t>FCS (6-12) 
Tech Applications (7-12) - Pending July</t>
  </si>
  <si>
    <t>Graphic Design and Illustration</t>
  </si>
  <si>
    <t>Charles Conner</t>
  </si>
  <si>
    <t xml:space="preserve">Retail Merchandising </t>
  </si>
  <si>
    <t>CTE Campus-Based Program of Study Priority #3: Marketing &amp; Sales</t>
  </si>
  <si>
    <t>CTE Campus-Based Program of Study Priority #4: Entrepreneurship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</si>
  <si>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</si>
  <si>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Scott Helms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</si>
  <si>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</si>
  <si>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-</t>
  </si>
  <si>
    <t>Principle of Business, Marketing, and Finance</t>
  </si>
  <si>
    <t>13034805 
13034815</t>
  </si>
  <si>
    <t>Keaton George</t>
  </si>
  <si>
    <t>McNeal/Jenkins</t>
  </si>
  <si>
    <t>Generalist Grades (EC-6)</t>
  </si>
  <si>
    <t>Jameson Gurley</t>
  </si>
  <si>
    <t>Debra Bennett</t>
  </si>
  <si>
    <t>Generalist Grades (EC-6)/DOI</t>
  </si>
  <si>
    <t>Retail Merchandising Certification</t>
  </si>
  <si>
    <t>Velishea Jenkins</t>
  </si>
  <si>
    <t>Pracitum in Entrepreneurship (DECA Store)</t>
  </si>
  <si>
    <t xml:space="preserve">Billy Middleton </t>
  </si>
  <si>
    <t>Miriam McNeal</t>
  </si>
  <si>
    <t>Social Media Marketing (doesn't align with pathway)</t>
  </si>
  <si>
    <t>Education &amp; Training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</si>
  <si>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</si>
  <si>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Prinicples of Education &amp; Training</t>
  </si>
  <si>
    <t xml:space="preserve">Career Prep I </t>
  </si>
  <si>
    <t>Dequelyn Adams*</t>
  </si>
  <si>
    <t>LeAnn Little</t>
  </si>
  <si>
    <t>Human Growth and Development</t>
  </si>
  <si>
    <t>CTE Campus-Based Program of Study Priority #4: Engineering</t>
  </si>
  <si>
    <t xml:space="preserve">Instructional Practices 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</si>
  <si>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</si>
  <si>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Leann Little</t>
  </si>
  <si>
    <t>CHW/Educational aide 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</si>
  <si>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</si>
  <si>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Jesse Field</t>
  </si>
  <si>
    <t xml:space="preserve">Engineering Science </t>
  </si>
  <si>
    <t>Troy A. Tyson</t>
  </si>
  <si>
    <t>Dr. Cheryl Wright</t>
  </si>
  <si>
    <t>Donald Brazelton</t>
  </si>
  <si>
    <t xml:space="preserve">Engineering &amp; Architecture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</si>
  <si>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</si>
  <si>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Engineering Essentials PLTW</t>
  </si>
  <si>
    <t>Four (4)</t>
  </si>
  <si>
    <t>No Longer Offered</t>
  </si>
  <si>
    <t xml:space="preserve">Engineering Design &amp; Development </t>
  </si>
  <si>
    <t>Christopher Hamilton</t>
  </si>
  <si>
    <t>Aerospace Engineering</t>
  </si>
  <si>
    <t>Kelvin williams</t>
  </si>
  <si>
    <t>Technnology Education (6-12)</t>
  </si>
  <si>
    <t>Engineering Science PLTW</t>
  </si>
  <si>
    <t>Six (6)</t>
  </si>
  <si>
    <t>Accounting 1, Business Inf Mgt I, Financial Analysis, Global Business, Law Enforcement II, Prac Law, Pubserv, Corr, Sec</t>
  </si>
  <si>
    <t xml:space="preserve">
Nicholas Hademenos</t>
  </si>
  <si>
    <t>Physics / Mathematics (8-12)</t>
  </si>
  <si>
    <t>Engineering Design and Problem Solving</t>
  </si>
  <si>
    <t>Kelvin Williams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</si>
  <si>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</si>
  <si>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Nicholas Hademenos</t>
  </si>
  <si>
    <t>Dupree/Seay</t>
  </si>
  <si>
    <t>Brandon Lewis-RM#208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</si>
  <si>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</si>
  <si>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Practicum in Business Management</t>
  </si>
  <si>
    <t xml:space="preserve"> CTE Campus-Based Program of Study Priority #5: </t>
  </si>
  <si>
    <t>Information Technology (Sunsetting) by 2025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</si>
  <si>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</si>
  <si>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Gerardo Hernandez</t>
  </si>
  <si>
    <t>Juan Cordoba</t>
  </si>
  <si>
    <t>CodeHS Web Design Level I Certification</t>
  </si>
  <si>
    <t>Web Game Development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</si>
  <si>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</si>
  <si>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Entrepreneurship, Graphic Design and Multimedia Arts</t>
  </si>
  <si>
    <t>Microsoft Office Word Expert</t>
  </si>
  <si>
    <t>CTE Campus-Based Program of Study Priority #1:  Sunsetting by 2027</t>
  </si>
  <si>
    <t>Graphic Design and Multimedia Arts (Beginning 2024)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</si>
  <si>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</si>
  <si>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Arts, Audio/Video Tech, and Comm</t>
  </si>
  <si>
    <t>Legal Studies and Law Enforcement  (Sunsetting)</t>
  </si>
  <si>
    <t>Graphic Design and Illustration II &amp; Lab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</si>
  <si>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</si>
  <si>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Barnhill</t>
  </si>
  <si>
    <t>Court Systems and Practices</t>
  </si>
  <si>
    <t>Technology Applications EC-12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</si>
  <si>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</si>
  <si>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12701300, 12701305</t>
  </si>
  <si>
    <t xml:space="preserve">Golightly </t>
  </si>
  <si>
    <t>Marcus Garrett RM#204</t>
  </si>
  <si>
    <t>n/a</t>
  </si>
  <si>
    <t>Trade and Industrial Education</t>
  </si>
  <si>
    <t>Marcus Garrett RM#205</t>
  </si>
  <si>
    <t>Joseph Pouncy</t>
  </si>
  <si>
    <t>Marcus Garrett RM#206</t>
  </si>
  <si>
    <t>Entrepreneuship</t>
  </si>
  <si>
    <t>IAED</t>
  </si>
  <si>
    <t>Rosa Hernandez</t>
  </si>
  <si>
    <t>Legal Research and Writing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</si>
  <si>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</si>
  <si>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Principals of Business, Marketing and Finance</t>
  </si>
  <si>
    <t>Practicum in Law, Public Safety, Corrections, and Security</t>
  </si>
  <si>
    <t>Robinson/Aromaya</t>
  </si>
  <si>
    <t>Business &amp; Finance 6-12</t>
  </si>
  <si>
    <t>Womack/Aromaye</t>
  </si>
  <si>
    <t>Merjournie Golightly</t>
  </si>
  <si>
    <t>Practicum in Business Mgt</t>
  </si>
  <si>
    <t>Alisha Offord-Aromaye</t>
  </si>
  <si>
    <t>Career Prep I</t>
  </si>
  <si>
    <t>Barbery</t>
  </si>
  <si>
    <t>CTE Campus-Based Program of Study Priority #4: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</si>
  <si>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</si>
  <si>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 to Cosmetology</t>
  </si>
  <si>
    <t>Law Enforcement (Sunsetting)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</si>
  <si>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</si>
  <si>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Law, Public Safety, Corrections, and Security</t>
  </si>
  <si>
    <t>Manzell Robertson</t>
  </si>
  <si>
    <t>Cosmetology Operator License</t>
  </si>
  <si>
    <t>Barbery I &amp;Lab</t>
  </si>
  <si>
    <t>N1302534</t>
  </si>
  <si>
    <t>CTE Campus-Based Program of Study Priority #3: Sunsetting by 2025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</si>
  <si>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</si>
  <si>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Priacticum in Law, Public Safety, Corrections and Security</t>
  </si>
  <si>
    <t>Legal Studies - Adv. Social Sciences Magnet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</si>
  <si>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</si>
  <si>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Law, Public Safety, Corrections, and Security</t>
  </si>
  <si>
    <t>Social Studies (4-8/7-12)</t>
  </si>
  <si>
    <t>CTE Campus-Based Program of Study Priority #4: Sunsetting by 2026</t>
  </si>
  <si>
    <t>Legal Research &amp; Writing</t>
  </si>
  <si>
    <t xml:space="preserve">Adv. Legal Studies &amp; Professions </t>
  </si>
  <si>
    <t>N1303016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</si>
  <si>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</si>
  <si>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</si>
  <si>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 xml:space="preserve">Computer Science I </t>
  </si>
  <si>
    <t>General Management</t>
  </si>
  <si>
    <t>-------</t>
  </si>
  <si>
    <t xml:space="preserve">Web Design
</t>
  </si>
  <si>
    <t>Joshua Newton</t>
  </si>
  <si>
    <t>Mr. Michael Jackson</t>
  </si>
  <si>
    <t>Hospitality and Tourism - Closed</t>
  </si>
  <si>
    <t>Brandee Womack</t>
  </si>
  <si>
    <t>CodeHS Web Design Level 1 Certification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</si>
  <si>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</si>
  <si>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Travel &amp; Tourism Management</t>
  </si>
  <si>
    <t>Advanced Manufacturing and Machinery Mechanics</t>
  </si>
  <si>
    <t>---------</t>
  </si>
  <si>
    <t>Christopher Barnhill</t>
  </si>
  <si>
    <t>Independent Study in Evolving/Emerging Technology</t>
  </si>
  <si>
    <t>Phyllis Wylie</t>
  </si>
  <si>
    <t>Practicum in Hospitality Services</t>
  </si>
  <si>
    <t>AP COMP SCI PRINCIPLES LOTE, 2703; AP COMPUTER SCIENCE A-MATH, 2697</t>
  </si>
  <si>
    <r>
      <rPr>
        <rFont val="Arial"/>
        <color theme="1"/>
      </rPr>
      <t xml:space="preserve">Information Technology Specialist: HTML and CSS </t>
    </r>
    <r>
      <rPr>
        <rFont val="Arial"/>
        <b/>
        <color theme="1"/>
      </rPr>
      <t>OR</t>
    </r>
    <r>
      <rPr>
        <rFont val="Arial"/>
        <color theme="1"/>
      </rPr>
      <t xml:space="preserve">
 Information Technology Specialist: HTML5 Application Development</t>
    </r>
  </si>
  <si>
    <t>Foundations of User Experience</t>
  </si>
  <si>
    <t>HTMP 1&amp;2</t>
  </si>
  <si>
    <r>
      <rPr>
        <rFont val="Arial"/>
        <strike/>
        <color theme="1"/>
      </rPr>
      <t xml:space="preserve">Advanced Manufacturing  </t>
    </r>
    <r>
      <rPr>
        <rFont val="Arial"/>
        <color theme="1"/>
      </rPr>
      <t>Engineering Foundations</t>
    </r>
  </si>
  <si>
    <t>----------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</si>
  <si>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</si>
  <si>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 to Engineering Desgin PLTW</t>
  </si>
  <si>
    <t>Architectural Design - Architecture Magnet</t>
  </si>
  <si>
    <t>Samantha Montoya</t>
  </si>
  <si>
    <t>Physics / Mathematics (7-12)</t>
  </si>
  <si>
    <t>Autodesk Inventor or Autodesk Fusion 360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</si>
  <si>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</si>
  <si>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Architecture</t>
  </si>
  <si>
    <t>Hofland</t>
  </si>
  <si>
    <t xml:space="preserve">Autodesk Associate AutoCAD or Revit Architecture </t>
  </si>
  <si>
    <t>Architectural Design II</t>
  </si>
  <si>
    <t xml:space="preserve">Practicum in Architectural Design </t>
  </si>
  <si>
    <t>Automotive - Collision Magnet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</si>
  <si>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</si>
  <si>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</si>
  <si>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Basic Collision Repair and Refinishing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</si>
  <si>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</si>
  <si>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Cisneros, Domingo</t>
  </si>
  <si>
    <t>Collision Repair / Lab</t>
  </si>
  <si>
    <t>Paint and Refinishing / Lab</t>
  </si>
  <si>
    <t>Lonnie Russell</t>
  </si>
  <si>
    <t xml:space="preserve">Vivian Chandler Fairley </t>
  </si>
  <si>
    <t>Sandra Barrios</t>
  </si>
  <si>
    <t>Practicum in Transportation Systems</t>
  </si>
  <si>
    <t>Business, Information Tech</t>
  </si>
  <si>
    <t>Aviation Maintance - Aviation Magnet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</si>
  <si>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</si>
  <si>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Introduction to Aircraft Technology</t>
  </si>
  <si>
    <t>Thomas, Erik</t>
  </si>
  <si>
    <t>Robotics, Anatomy &amp; Physiology, Money Matters, Digital Media, Medical Terminology</t>
  </si>
  <si>
    <t>Aircraft Airframe Technology / Lab</t>
  </si>
  <si>
    <t>Aircraft Powerplant Technology / Lab</t>
  </si>
  <si>
    <t xml:space="preserve">Web Development (Sunsetting by 2026) </t>
  </si>
  <si>
    <t>Walker</t>
  </si>
  <si>
    <t>Industrial Technology Maintenance (ITM) NIMS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</si>
  <si>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</si>
  <si>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</si>
  <si>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
Introduction to Culinary Arts</t>
  </si>
  <si>
    <t>Principles of  Information Technology</t>
  </si>
  <si>
    <t>Floral Design</t>
  </si>
  <si>
    <t>-------------------------------</t>
  </si>
  <si>
    <t>--------------------------------------------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</si>
  <si>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</si>
  <si>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Rosilind Coleman</t>
  </si>
  <si>
    <t>Principles of Agriculture, Food, and Natural Resources</t>
  </si>
  <si>
    <t>Trades and Industries 6-12</t>
  </si>
  <si>
    <t>Carvell Dangerfield</t>
  </si>
  <si>
    <t xml:space="preserve">Technology Application </t>
  </si>
  <si>
    <t>Pina</t>
  </si>
  <si>
    <t>Agriculural Foods &amp; Natural Resources 6-12</t>
  </si>
  <si>
    <t>Texas State Floral Association Knowledge Based</t>
  </si>
  <si>
    <t>Greenhouse Operation</t>
  </si>
  <si>
    <t>Web Gaming Development</t>
  </si>
  <si>
    <t xml:space="preserve">Pina, Sanchez Muñoz </t>
  </si>
  <si>
    <t>Practicum of IT</t>
  </si>
  <si>
    <t>David Velasquez</t>
  </si>
  <si>
    <t>Coyle</t>
  </si>
  <si>
    <t>Vocational Argiculture Prduction 6-12</t>
  </si>
  <si>
    <t>Texas State Floral Association Level 1</t>
  </si>
  <si>
    <t>Practicum in Agriculture, Food, and Natural Resources I</t>
  </si>
  <si>
    <t>Practicum of Entrepreneurship (2 sections)</t>
  </si>
  <si>
    <t>Practicum in Agriculture, Food, and Natural Resources II</t>
  </si>
  <si>
    <t>Texas State Floral Association Level 2</t>
  </si>
  <si>
    <t>Web Development (sunsetting) by 2028</t>
  </si>
  <si>
    <t>Interior Design Magnet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</si>
  <si>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</si>
  <si>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</si>
  <si>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Blackhall, Rebecca</t>
  </si>
  <si>
    <t xml:space="preserve">Autodesk Associate AutoCAD or Revit </t>
  </si>
  <si>
    <t>--------------</t>
  </si>
  <si>
    <t>Interior Design I</t>
  </si>
  <si>
    <t>------------------------------------</t>
  </si>
  <si>
    <t>----------------------------------------------------</t>
  </si>
  <si>
    <t>--------------------------------------------------------</t>
  </si>
  <si>
    <t>Autodesk Associate AutoCAD or Revit</t>
  </si>
  <si>
    <t>Computer Aided Drafting for Architecture</t>
  </si>
  <si>
    <t>N1300429</t>
  </si>
  <si>
    <t>Chilewmbe Lumumba</t>
  </si>
  <si>
    <t>Technology Applications (EC-12)</t>
  </si>
  <si>
    <t xml:space="preserve">CodeHS Web Design Level I Certification </t>
  </si>
  <si>
    <t>Interior Design II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</si>
  <si>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</si>
  <si>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Microsoft IT Specialist HTML &amp; Css; </t>
  </si>
  <si>
    <t>Santos/Dangerfield</t>
  </si>
  <si>
    <t>Business Mangement II</t>
  </si>
  <si>
    <t>Dangerfield</t>
  </si>
  <si>
    <t>Business Mgt</t>
  </si>
  <si>
    <t>Fashion Design Magnet</t>
  </si>
  <si>
    <t>Dangerfield/Santos</t>
  </si>
  <si>
    <t>Santos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</si>
  <si>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</si>
  <si>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Arts, A/V Technology, &amp; Communications (FSHDSGN)</t>
  </si>
  <si>
    <t>Rodericka Ballard</t>
  </si>
  <si>
    <t>Family and Consumer sciences (6-12)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</si>
  <si>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</si>
  <si>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Fashion Design I</t>
  </si>
  <si>
    <t>Clowdus</t>
  </si>
  <si>
    <t>Elton Fielder</t>
  </si>
  <si>
    <t>Fashion Design II/Lab</t>
  </si>
  <si>
    <t>Adobe Certified Professional in Graphic Design and Illustration Using Adobe
Illustrator</t>
  </si>
  <si>
    <t>Practicum in Fashion Design</t>
  </si>
  <si>
    <t>Rita Jones</t>
  </si>
  <si>
    <t>DOI/Business and Finance</t>
  </si>
  <si>
    <t xml:space="preserve">Intuit Quickbooks </t>
  </si>
  <si>
    <t xml:space="preserve">Extended Practicum in Marketing </t>
  </si>
  <si>
    <t>MB 920 - Microsoft Dynamics 
Finance and Operation Apps</t>
  </si>
  <si>
    <t>Automotive - Tech Magnet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</si>
  <si>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</si>
  <si>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Dijkman, Stevens</t>
  </si>
  <si>
    <r>
      <rPr>
        <rFont val="Arial"/>
        <color rgb="FF000000"/>
        <sz val="10.0"/>
      </rPr>
      <t xml:space="preserve">Please complete all GREEN sections for each CTE Campus-Based Program of Study.
</t>
    </r>
    <r>
      <rPr>
        <rFont val="Arial"/>
        <b/>
        <color rgb="FF000000"/>
        <sz val="10.0"/>
      </rPr>
      <t xml:space="preserve">Campuses should prioitize creating Programs of Study focused on students becoming CTE Completers.
CTE Explorers: </t>
    </r>
    <r>
      <rPr>
        <rFont val="Arial"/>
        <color rgb="FF000000"/>
        <sz val="10.0"/>
      </rPr>
      <t xml:space="preserve">2+ CTE Courses for 2+ Credits in different Programs of Study
</t>
    </r>
    <r>
      <rPr>
        <rFont val="Arial"/>
        <b/>
        <color rgb="FF000000"/>
        <sz val="10.0"/>
      </rPr>
      <t>CTE Concentrator:</t>
    </r>
    <r>
      <rPr>
        <rFont val="Arial"/>
        <color rgb="FF000000"/>
        <sz val="10.0"/>
      </rPr>
      <t xml:space="preserve"> 2+ CTE Courses for 2+ Credits in the same Program of Study
</t>
    </r>
    <r>
      <rPr>
        <rFont val="Arial"/>
        <b/>
        <color rgb="FF000000"/>
        <sz val="10.0"/>
      </rPr>
      <t>CTE Completer:</t>
    </r>
    <r>
      <rPr>
        <rFont val="Arial"/>
        <color rgb="FF000000"/>
        <sz val="10.0"/>
      </rPr>
      <t xml:space="preserve"> 3+ CTE Courses for 4+ Credits in the same Program of Study, including one level 3 or level 4 course within same Program of Study</t>
    </r>
  </si>
  <si>
    <t>Stevens</t>
  </si>
  <si>
    <t>Dijkman</t>
  </si>
  <si>
    <t>HVAC Magnet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</si>
  <si>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</si>
  <si>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</si>
  <si>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Angela West</t>
  </si>
  <si>
    <t xml:space="preserve">Principles of Architecture Construction </t>
  </si>
  <si>
    <t>Jackson, John</t>
  </si>
  <si>
    <t>Principles of Construction (DC)</t>
  </si>
  <si>
    <t>Electrical Tech I/HVAC I (DC)</t>
  </si>
  <si>
    <t>EPA 608</t>
  </si>
  <si>
    <t>Electrical Tech II/HVAC II (DC)</t>
  </si>
  <si>
    <t>Garry Williams</t>
  </si>
  <si>
    <t>Micheal Jackson</t>
  </si>
  <si>
    <t>Horticulture</t>
  </si>
  <si>
    <t>Required for all 9th grade students: BIM 1 (DC: Intro to Word Processing [WORD]) and BIM 2  (DC: Intro to Spreadsheets [EXCEL]). Required for Accounting and Finance: Intro to Computerized Accounting (QuickBooks) - Dallas College ACNT 1311.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</si>
  <si>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</si>
  <si>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Anatomy</t>
  </si>
  <si>
    <t>Pina, Sanchez Muñoz</t>
  </si>
  <si>
    <t>CTE Campus-Based Program of Study Priority #1: Accounting &amp; Finance</t>
  </si>
  <si>
    <t>Estimated # of Students</t>
  </si>
  <si>
    <t>Sanchez Muñoz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</si>
  <si>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</si>
  <si>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</si>
  <si>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Advanced Plant and Soil Science</t>
  </si>
  <si>
    <t>Principles of Business, Marketing, and Finance (AFS 1)</t>
  </si>
  <si>
    <t>Practicum in Agriculture, Food, and Natural Resources</t>
  </si>
  <si>
    <t>Shipman/Rogers/NIckerson</t>
  </si>
  <si>
    <t>Vocational Marketing Education 6-12/Marketing Education Grades (8-12)/Secondary Basic Business Grades (6-12)/DOI</t>
  </si>
  <si>
    <t>BIM 1 (AFS 1) - DC ITSW 1401 (7993)</t>
  </si>
  <si>
    <t>Blackburn</t>
  </si>
  <si>
    <t>Digital Communications Magnet</t>
  </si>
  <si>
    <t>Accounting I (AFS 2) - DC ACNT 1303 (7891)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</si>
  <si>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</si>
  <si>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Sanders</t>
  </si>
  <si>
    <t>Principles of Arts, Audio/Video Technology, and Communications</t>
  </si>
  <si>
    <t>Quickbooks Certifications</t>
  </si>
  <si>
    <t>Accounting I (AFS 2) - DC ACNT 1304 (7892)</t>
  </si>
  <si>
    <t>Awalt G51</t>
  </si>
  <si>
    <t>Digital Communications in the 21st Century</t>
  </si>
  <si>
    <t>Financial Analysis (AFS 3)</t>
  </si>
  <si>
    <t>Audio/Video Production I/Lab</t>
  </si>
  <si>
    <t>vacant</t>
  </si>
  <si>
    <t>Accounting II (AFS 3) - DC ACCT 2301 (7893)</t>
  </si>
  <si>
    <t>Mokate G52</t>
  </si>
  <si>
    <t>Digital Audio Technology I</t>
  </si>
  <si>
    <t>Quickbooks Certification</t>
  </si>
  <si>
    <t>Securities and Investments (AFS 4)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</si>
  <si>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</si>
  <si>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Cameron Taylor</t>
  </si>
  <si>
    <t>Audio/Video Production II/Lab</t>
  </si>
  <si>
    <t>Digital Audio Technology II</t>
  </si>
  <si>
    <t>Goodson</t>
  </si>
  <si>
    <t>Practicum in Entrepreneurship (AFS 4)</t>
  </si>
  <si>
    <t>Cosmetology and Personal Care Services Magnet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</si>
  <si>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</si>
  <si>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CTE Campus-Based Program of Study Priority #2: Entrepreneurship</t>
  </si>
  <si>
    <t>Cosmetology I/Lab</t>
  </si>
  <si>
    <t>Shannon Smith</t>
  </si>
  <si>
    <t xml:space="preserve">Cosmetology Operators License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</si>
  <si>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</si>
  <si>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Cosmetology II/Lab</t>
  </si>
  <si>
    <t>Principles of Business, Marketing, and Finance (ENTR 1)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</si>
  <si>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</si>
  <si>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Tracy Williams</t>
  </si>
  <si>
    <t>Vocational Marketing Education 6-12</t>
  </si>
  <si>
    <t>BIM 1 (ENTR 1) - DC ITSW 1401</t>
  </si>
  <si>
    <t>Career Prep Practice C</t>
  </si>
  <si>
    <t>Bell</t>
  </si>
  <si>
    <t>Hambleton</t>
  </si>
  <si>
    <t>Entrepreneurship I (ENTR 2)</t>
  </si>
  <si>
    <t xml:space="preserve"> Culinary Arts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</si>
  <si>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</si>
  <si>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Entrepreneurship II (ENTR 3)</t>
  </si>
  <si>
    <t>Blackwell/Carpenter</t>
  </si>
  <si>
    <t>Practicum in Entrepreneurship (ENTR 4)</t>
  </si>
  <si>
    <t>Secondary Basic Business Grades (6-12)</t>
  </si>
  <si>
    <t>Blackwell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</si>
  <si>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</si>
  <si>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CTE Campus-Based Program of Study Priority #3: Marketing &amp; Sales with Emphasis on Real Estate</t>
  </si>
  <si>
    <t>Photography Magnet (Sunsetting to Fine Arts)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</si>
  <si>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</si>
  <si>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Business, Marketing, and Finance (M&amp;S 1)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</si>
  <si>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</si>
  <si>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Commercial Photography I/Lab</t>
  </si>
  <si>
    <t>Marketing (M&amp;S 2)</t>
  </si>
  <si>
    <t>Commercial Photography II/Lab</t>
  </si>
  <si>
    <t>Nickerson</t>
  </si>
  <si>
    <t>Marketing Education Grades (8-12)</t>
  </si>
  <si>
    <t>Insurance Operations</t>
  </si>
  <si>
    <t>Practicum in Commercial Photography</t>
  </si>
  <si>
    <t>Fundamentals of Real Estate (M&amp;S 3)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</si>
  <si>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</si>
  <si>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Marketing I (M&amp;S 4)</t>
  </si>
  <si>
    <t xml:space="preserve">Biomedical Science </t>
  </si>
  <si>
    <t>Shipman</t>
  </si>
  <si>
    <t>Vocational Marketing Education 6-12/Marketing Education Grades (8-12)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</si>
  <si>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</si>
  <si>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Keona Lambert</t>
  </si>
  <si>
    <t>CTE Campus-Based Program of Study Priority #4: Business Management</t>
  </si>
  <si>
    <t>Lakisha Dykes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</si>
  <si>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</si>
  <si>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Business, Marketing, and Finance (BMGT 1)</t>
  </si>
  <si>
    <t>BIM 1 (BMGT 1) - DC ITSW 1401</t>
  </si>
  <si>
    <t>Engineering  (Sunsetting) 26-27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</si>
  <si>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</si>
  <si>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Tammi Greer</t>
  </si>
  <si>
    <t>Mathematics (6-12)</t>
  </si>
  <si>
    <t>Microsoft Word/Excel Expert</t>
  </si>
  <si>
    <t>Business Management (BMGT 3)</t>
  </si>
  <si>
    <t>Global Business (BMGT 3) - DC ITSW 1407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</si>
  <si>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</si>
  <si>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Autodesk Inventor Or Fusion 360</t>
  </si>
  <si>
    <t>Web Development - IT (Sunsetting)</t>
  </si>
  <si>
    <t>Business Law (BMGT 2)</t>
  </si>
  <si>
    <t>Practicum in Business Management I (BMGT 4)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</si>
  <si>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</si>
  <si>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Yvonne Rojas</t>
  </si>
  <si>
    <t>Jameile Choice</t>
  </si>
  <si>
    <t>Hambleton/Goodson</t>
  </si>
  <si>
    <t>Information Technology Specialist: HTML5 Application Development</t>
  </si>
  <si>
    <t>Practicum in Information Technology</t>
  </si>
  <si>
    <t>CTE Campus-Based Program of Study Priority #5: Marketing &amp; Sales with Emphasis on Social Media</t>
  </si>
  <si>
    <t>CodeHS Python Level 1 Certification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</si>
  <si>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</si>
  <si>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Art, Audio/Visual, Technology and Communications, Business Information Management I, Money Matters, AP Computer Science, Fundamentals of Computer Science, Political Science</t>
  </si>
  <si>
    <t>Accounting and Financial Services (Sunsetting)</t>
  </si>
  <si>
    <t>Digital Design and Media Production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</si>
  <si>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</si>
  <si>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</si>
  <si>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Advertising (M&amp;S 3)</t>
  </si>
  <si>
    <t>Carollo</t>
  </si>
  <si>
    <t>Accounting II</t>
  </si>
  <si>
    <t>Social Media Marketing (M&amp;S 3)</t>
  </si>
  <si>
    <t>Scott Stroud</t>
  </si>
  <si>
    <t>Gantt-Lee/Carollo</t>
  </si>
  <si>
    <t>Tech Apps EC-12, Business EC-12</t>
  </si>
  <si>
    <t>Tech Apps Grades (8-12)/DOI</t>
  </si>
  <si>
    <t xml:space="preserve">Stukent Social Media Marketing </t>
  </si>
  <si>
    <t>Advanced Marketing (M&amp;S 4)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</si>
  <si>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</si>
  <si>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Shipman/Nickerson</t>
  </si>
  <si>
    <t>Jonda Mitchell</t>
  </si>
  <si>
    <t>Magallanez</t>
  </si>
  <si>
    <t>Brewer/Watts/Mitchell/Carroll/Magallanez</t>
  </si>
  <si>
    <t xml:space="preserve">        Business and Finance Grades (6-12) /Secondary Business Composite Grades (6-12)</t>
  </si>
  <si>
    <t>CTE Campus-Based Program of Study Priority #6: Web Development with Emphasis on Game Development</t>
  </si>
  <si>
    <t>Carroll/Ross</t>
  </si>
  <si>
    <t>Business and Finance Grades (6-12)/ Office Education Grades (6-12)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</si>
  <si>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</si>
  <si>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Watts/Ross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</si>
  <si>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</si>
  <si>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Digital Media (WD 1)</t>
  </si>
  <si>
    <t>Practicum in Entrepreneurship (DECA Store)</t>
  </si>
  <si>
    <t>Zach Olson</t>
  </si>
  <si>
    <t>--------------------------------------------------</t>
  </si>
  <si>
    <t>Web Design (WD 3)</t>
  </si>
  <si>
    <t>Family and Community Services</t>
  </si>
  <si>
    <t>CodeHS Web Design Level I Certificate</t>
  </si>
  <si>
    <t>Web Game Development (WD 3)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</si>
  <si>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</si>
  <si>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Human Services</t>
  </si>
  <si>
    <t>Haides Mares</t>
  </si>
  <si>
    <t>Lifetime Nutrition and Wellness</t>
  </si>
  <si>
    <t>Delisia Jones</t>
  </si>
  <si>
    <t>Interpersonal Studies(Sem 2)</t>
  </si>
  <si>
    <t>Networking Systems</t>
  </si>
  <si>
    <t>Rodrika Ballard</t>
  </si>
  <si>
    <t>Family &amp; Commnuity Services or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</si>
  <si>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</si>
  <si>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AP Computer Science Principles</t>
  </si>
  <si>
    <t>Community Health Worker</t>
  </si>
  <si>
    <t xml:space="preserve">Counseling &amp; Mental Health </t>
  </si>
  <si>
    <t>Foundation of User Experience</t>
  </si>
  <si>
    <t>Megan Johnson/Delisia Jones</t>
  </si>
  <si>
    <t>Practicum in Human Services</t>
  </si>
  <si>
    <t xml:space="preserve">None Recommended- Should take AP Exam
</t>
  </si>
  <si>
    <t>AP Computer Science A - Math</t>
  </si>
  <si>
    <t>Megan Johnson</t>
  </si>
  <si>
    <t>Practicum in Information Technology (WD 4)</t>
  </si>
  <si>
    <t>Tech Apps EC-12, Business EC-13</t>
  </si>
  <si>
    <t xml:space="preserve">Fundamentals of Computer Science </t>
  </si>
  <si>
    <t>Tech Apps EC-12, Business EC-14</t>
  </si>
  <si>
    <t>Graphic Design Magnet</t>
  </si>
  <si>
    <t>None - Level One course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</si>
  <si>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</si>
  <si>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arts a/v</t>
  </si>
  <si>
    <t>Ballard</t>
  </si>
  <si>
    <t>Nassif</t>
  </si>
  <si>
    <t>Print Imaging tech</t>
  </si>
  <si>
    <t>Graphic Design &amp; Illustration/Lab I</t>
  </si>
  <si>
    <t xml:space="preserve">Government and Public Administration </t>
  </si>
  <si>
    <t>Nassif/Ballard</t>
  </si>
  <si>
    <t>Graphic Design &amp; Illustration/Lab II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</si>
  <si>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</si>
  <si>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Political Science I</t>
  </si>
  <si>
    <t>Animation II(DC)</t>
  </si>
  <si>
    <t>Practicum Aud/Visual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</si>
  <si>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</si>
  <si>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Cybersecurity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</si>
  <si>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</si>
  <si>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</si>
  <si>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Fundamentals of Computer Science</t>
  </si>
  <si>
    <t>Monsen B36</t>
  </si>
  <si>
    <t>3D Modeling and Animation</t>
  </si>
  <si>
    <t>LaSandra Gillard</t>
  </si>
  <si>
    <t>5</t>
  </si>
  <si>
    <t>6</t>
  </si>
  <si>
    <t>7455 Anatomy &amp; Physiology, 7670 Medical Microbiology, 6171 Math for Medical Professionals, 7424 Mental Health, 7607 Pathophysiology, 7789 Pharmacology</t>
  </si>
  <si>
    <t>CTE Campus-Based Program of Study Priority #1:</t>
  </si>
  <si>
    <r>
      <rPr>
        <rFont val="Arial"/>
        <color theme="1"/>
      </rPr>
      <t xml:space="preserve">Diagnostic and Therapeutic Services </t>
    </r>
    <r>
      <rPr>
        <rFont val="Arial"/>
        <b/>
        <color theme="1"/>
      </rPr>
      <t>(Medical Laboratory)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</si>
  <si>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</si>
  <si>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</si>
  <si>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ROSIE SORRELLS EDUCATION AND SOCIAL SERVICES</t>
  </si>
  <si>
    <t>Principles of Health Science (6974 Principles of HS DC)</t>
  </si>
  <si>
    <t>Valarie Kendrick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</si>
  <si>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</si>
  <si>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Grace Barber
Mindy Barrett</t>
  </si>
  <si>
    <t>HSTE (8-12)
DOI</t>
  </si>
  <si>
    <t>Medical Terminology (7427 Med Term)</t>
  </si>
  <si>
    <t>Grace Barber
Bobbye Lowe
Jennefer Ramirez</t>
  </si>
  <si>
    <t>HSTE (8-12)
Vocational Health Occupation (6-12)
HSTE (8-12)</t>
  </si>
  <si>
    <t>Health Science Theory (6982/6983 HST DC)</t>
  </si>
  <si>
    <t>Daun Kopca</t>
  </si>
  <si>
    <t>HSTE (8-12)</t>
  </si>
  <si>
    <t>Anatomy &amp; Physiology (7455)</t>
  </si>
  <si>
    <t>Michael Jones</t>
  </si>
  <si>
    <t>Carli Dixon
LaCoya Hall
Julia Maxwell</t>
  </si>
  <si>
    <t>Health Science (6-12)
DOI
DOI</t>
  </si>
  <si>
    <t>Practicum in Health Science (7437 Pract Med Lab 1, 7448 Pract Med Lab 2)</t>
  </si>
  <si>
    <t>13020500; 13020510</t>
  </si>
  <si>
    <t>Counseling and Mental Health, Family and Community Services</t>
  </si>
  <si>
    <t>Matthew Hammons
Julia Maxwell</t>
  </si>
  <si>
    <t>DOI
DOI</t>
  </si>
  <si>
    <t>Teaching and Training</t>
  </si>
  <si>
    <t>Pathophysiology/Pharmacology (7607 Patho/7789 Pharm DC)</t>
  </si>
  <si>
    <t>13020800; 13020950</t>
  </si>
  <si>
    <t>Carli Dixon</t>
  </si>
  <si>
    <t>Health Science (6-12)</t>
  </si>
  <si>
    <t xml:space="preserve">Law and Public Service Career Custer </t>
  </si>
  <si>
    <r>
      <rPr>
        <rFont val="Arial"/>
        <color theme="1"/>
      </rPr>
      <t xml:space="preserve">Certified Medical Laboratory Assistant
</t>
    </r>
    <r>
      <rPr>
        <rFont val="Arial"/>
        <color theme="1"/>
      </rPr>
      <t>Phlebotomy Technician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</si>
  <si>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</si>
  <si>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Education and Training</t>
  </si>
  <si>
    <t>Instructional Practices</t>
  </si>
  <si>
    <t>Demars</t>
  </si>
  <si>
    <t>Practicum in Education and Training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</si>
  <si>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</si>
  <si>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 LAW &amp; PUB SAFETY</t>
  </si>
  <si>
    <t>Educational Aide I</t>
  </si>
  <si>
    <r>
      <rPr>
        <rFont val="Arial"/>
        <color theme="1"/>
      </rPr>
      <t xml:space="preserve">Diagnostic and Therapeutic Services </t>
    </r>
    <r>
      <rPr>
        <rFont val="Arial"/>
        <b/>
        <color theme="1"/>
      </rPr>
      <t>(Clinical Medical Assisting)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</si>
  <si>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</si>
  <si>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Clifton/Demars</t>
  </si>
  <si>
    <t>Human Growth &amp; Development</t>
  </si>
  <si>
    <t>Clifton</t>
  </si>
  <si>
    <t xml:space="preserve">Community Health Worker </t>
  </si>
  <si>
    <t>Counseling and Mental Health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</si>
  <si>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</si>
  <si>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Jennings</t>
  </si>
  <si>
    <t>Barney</t>
  </si>
  <si>
    <t>PE EC-12; Trade &amp; Industrial Ed</t>
  </si>
  <si>
    <t>Practicum in Human Services 1</t>
  </si>
  <si>
    <t xml:space="preserve">LAW ENFORCEMENT II </t>
  </si>
  <si>
    <t>Barney/Demars</t>
  </si>
  <si>
    <t>Turner</t>
  </si>
  <si>
    <t>Non-Commissioned Officer*</t>
  </si>
  <si>
    <r>
      <rPr>
        <rFont val="Arial"/>
        <color rgb="FF000000"/>
        <sz val="10.0"/>
        <u/>
      </rPr>
      <t>PRAC LAW, PUBSEV, CORR, SE</t>
    </r>
    <r>
      <rPr>
        <rFont val="Arial"/>
        <color rgb="FF000000"/>
        <sz val="10.0"/>
      </rPr>
      <t>C II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</si>
  <si>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</si>
  <si>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Practicum in Health Science (7436 Pract CMA 1, 7446 Pract CMA 2)</t>
  </si>
  <si>
    <t>Rojas/Gonzalez</t>
  </si>
  <si>
    <t>Secondary Sociology/Secondary History</t>
  </si>
  <si>
    <t>Bobbye Lowe</t>
  </si>
  <si>
    <t>Vocational Health Occupation (6-12)</t>
  </si>
  <si>
    <t>Alan Varney</t>
  </si>
  <si>
    <t xml:space="preserve"> CTE Campus-Based Program of Study Priority #2: Government &amp; Public Administration</t>
  </si>
  <si>
    <t>Ruby Ramirez</t>
  </si>
  <si>
    <t xml:space="preserve">Certified Billing &amp; Coding Specialist
Certified Clinical Medical Assistant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</si>
  <si>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</si>
  <si>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Benzvi</t>
  </si>
  <si>
    <t>Secondary Social Studies</t>
  </si>
  <si>
    <t>Political Science II</t>
  </si>
  <si>
    <t>Zambrano</t>
  </si>
  <si>
    <t>Social Studies Grades (7-12)</t>
  </si>
  <si>
    <t>Adv Legal Skills &amp; Professions</t>
  </si>
  <si>
    <r>
      <rPr>
        <rFont val="Arial"/>
        <color theme="1"/>
      </rPr>
      <t xml:space="preserve">Diagnostic and Therapeutic Services </t>
    </r>
    <r>
      <rPr>
        <rFont val="Arial"/>
        <b/>
        <color theme="1"/>
      </rPr>
      <t>(Dental Assisting)</t>
    </r>
  </si>
  <si>
    <t>Mobile Application Development, Virtual Business, Digital Design and Media, Web Design, Commercial Photography</t>
  </si>
  <si>
    <t>Planning &amp; Goverance</t>
  </si>
  <si>
    <t>Gonzalez</t>
  </si>
  <si>
    <t>Secondary History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</si>
  <si>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</si>
  <si>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Grace Barber 
Mindy Barrett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</si>
  <si>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</si>
  <si>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Business Marketing and FInance</t>
  </si>
  <si>
    <t>CTE Campus-Based Program of Study Priority #3: Legal Studies</t>
  </si>
  <si>
    <t>CAMARENA, ALMA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</si>
  <si>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</si>
  <si>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Law, Public Service, Corr., Security</t>
  </si>
  <si>
    <t>COURT SYSTEMS AND PRACTICES (DC) 1</t>
  </si>
  <si>
    <t>Entrepreneurship  II</t>
  </si>
  <si>
    <t>N13030314</t>
  </si>
  <si>
    <t>Megan James</t>
  </si>
  <si>
    <t>Agriculture, Food &amp; Natural Resources Grades (6-12)</t>
  </si>
  <si>
    <t>Practicum in Entreprenuership (Add 23-24)</t>
  </si>
  <si>
    <t>Practicum in Health Science (7443 Pract Dental Asst 1, 7442 Pract Dental Asst 2)</t>
  </si>
  <si>
    <t>Practicum in Law, Public Service, Corr., Security</t>
  </si>
  <si>
    <t>Jennefer Ramirez</t>
  </si>
  <si>
    <t xml:space="preserve">Registered Dental Assistant </t>
  </si>
  <si>
    <r>
      <rPr>
        <rFont val="Arial"/>
        <color theme="1"/>
      </rPr>
      <t xml:space="preserve">Diagnostic and Therapeutic Services </t>
    </r>
    <r>
      <rPr>
        <rFont val="Arial"/>
        <b/>
        <color theme="1"/>
      </rPr>
      <t>(Patient Care Tech)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</si>
  <si>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</si>
  <si>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</si>
  <si>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</si>
  <si>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Practicum in Health Science (6976/3977 HST Skills DC, 7576 Pract in PCT)</t>
  </si>
  <si>
    <t>Shadaria Foster</t>
  </si>
  <si>
    <t>LaCoya Hall</t>
  </si>
  <si>
    <t>DOI
TBD</t>
  </si>
  <si>
    <t>Certified Patient Care Technician
Phlebotomy Technician</t>
  </si>
  <si>
    <r>
      <rPr>
        <rFont val="Arial"/>
        <color theme="1"/>
      </rPr>
      <t xml:space="preserve">Diagnostic and Therapeutic Services </t>
    </r>
    <r>
      <rPr>
        <rFont val="Arial"/>
        <b/>
        <color theme="1"/>
      </rPr>
      <t>(Exercise Science)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</si>
  <si>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</si>
  <si>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22-23 CTE Campus-Based Program of Study Priority #1: </t>
  </si>
  <si>
    <t>CTE Campus-Based Program of Study Priority #1: Culinary Arts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</si>
  <si>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</si>
  <si>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</si>
  <si>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Intro to Culinary Arts </t>
  </si>
  <si>
    <t>Stephon Cook</t>
  </si>
  <si>
    <t>Practicum in Health Science (7439 Pract in Ex. Sci, 6233 Pract in Ex. Sci 2)</t>
  </si>
  <si>
    <t>Yvonne Morgan</t>
  </si>
  <si>
    <t xml:space="preserve">Certified EKG Technician
Certified Personal Trainer </t>
  </si>
  <si>
    <t xml:space="preserve">22-23 CTE Campus-Based Program of Study Priority #2: </t>
  </si>
  <si>
    <t>CTE Campus-Based Program of Study Priority #2: Web Development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</si>
  <si>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</si>
  <si>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</si>
  <si>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Anh Nguyen</t>
  </si>
  <si>
    <t>Technology Applications</t>
  </si>
  <si>
    <t>-------------------------------------------------------------------------</t>
  </si>
  <si>
    <t>Tracey Askey</t>
  </si>
  <si>
    <t>CodeHS Python Level I Certificate</t>
  </si>
  <si>
    <t>Independent Studies in Evolving and Emerging Tech</t>
  </si>
  <si>
    <t xml:space="preserve">22-23 CTE Campus-Based Program of Study Priority #3: </t>
  </si>
  <si>
    <t>Practicum of Information Technology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</si>
  <si>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</si>
  <si>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</si>
  <si>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CTE Campus-Based Program of Study Priority #3: Digital Communications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</si>
  <si>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</si>
  <si>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22-23 CTE Campus-Based Program of Study Priority #4: </t>
  </si>
  <si>
    <t>CTE Campus-Based Program of Study Priority #5: Accounting and Financial Services (Sunsetting)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</si>
  <si>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</si>
  <si>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</si>
  <si>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Crittended/Wilson</t>
  </si>
  <si>
    <t>Secondary Business Compostie 6-11</t>
  </si>
  <si>
    <t>Crittended</t>
  </si>
  <si>
    <t>Secondary Business Compostie 6-12</t>
  </si>
  <si>
    <t>Wilson</t>
  </si>
  <si>
    <t>CTE Campus-Based Program of Study Priority #6: Automotive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</si>
  <si>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</si>
  <si>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</si>
  <si>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strike/>
        <color theme="1"/>
      </rPr>
      <t xml:space="preserve">Automotive Technology I </t>
    </r>
    <r>
      <rPr>
        <rFont val="Arial"/>
        <strike/>
        <color rgb="FF0000FF"/>
      </rPr>
      <t>(Sun set June 2025)</t>
    </r>
  </si>
  <si>
    <t>Herrera, Johnny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</si>
  <si>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</si>
  <si>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strike/>
        <color theme="1"/>
      </rPr>
      <t xml:space="preserve">Automotive Technology II </t>
    </r>
    <r>
      <rPr>
        <rFont val="Arial"/>
        <strike/>
        <color rgb="FF0000FF"/>
      </rPr>
      <t>(Sun set June 2025)</t>
    </r>
  </si>
  <si>
    <r>
      <rPr>
        <rFont val="Arial"/>
        <strike/>
        <color theme="1"/>
      </rPr>
      <t>Practicum Transportation Systems</t>
    </r>
    <r>
      <rPr>
        <rFont val="Arial"/>
        <strike/>
        <color rgb="FF0000FF"/>
      </rPr>
      <t xml:space="preserve"> (Sun set June 2025)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</si>
  <si>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</si>
  <si>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</si>
  <si>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</si>
  <si>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BARACK OBAMA MALE LEADERSHIP ACA AT A MACEO SMITH</t>
  </si>
  <si>
    <t>Derek Thomas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</si>
  <si>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</si>
  <si>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Fundamentals of Computer Science, AP Computer Science Principles, Game Programming and Design, Mobile Application Development, Practicum Enrepreneurship </t>
  </si>
  <si>
    <t>Programming and Software Development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</si>
  <si>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</si>
  <si>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COMPUTER SCIENCE FUNDAMENTALS MSHC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</si>
  <si>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</si>
  <si>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Barbara Amie</t>
  </si>
  <si>
    <t xml:space="preserve">Technology Applications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</si>
  <si>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</si>
  <si>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Rodnez Small</t>
  </si>
  <si>
    <t>Technolgy Applications</t>
  </si>
  <si>
    <t>--------------------------------------------------------------------</t>
  </si>
  <si>
    <t>Game Programming and Design</t>
  </si>
  <si>
    <t xml:space="preserve">Mobile Application Development </t>
  </si>
  <si>
    <t xml:space="preserve">Information Technology Specialist: HTML&amp; CSS
</t>
  </si>
  <si>
    <t>--------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</si>
  <si>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</si>
  <si>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</si>
  <si>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</si>
  <si>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</si>
  <si>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</si>
  <si>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</si>
  <si>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Law and Public Service ( Urban Planning) - will get Architecture Pathway and certifications with electives in Law and Public Service</t>
  </si>
  <si>
    <t>Planning &amp; Governance, Urban Planning, Principles of Government and Public Administration</t>
  </si>
  <si>
    <t>Adrian Hernandez</t>
  </si>
  <si>
    <t>CTE Campus-Based Program of Study Priority #1: Architecture</t>
  </si>
  <si>
    <t xml:space="preserve">Architectural Design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</si>
  <si>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</si>
  <si>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N/A</t>
  </si>
  <si>
    <t>Knesnik, Alex</t>
  </si>
  <si>
    <t>Technology Education 6-12</t>
  </si>
  <si>
    <t>Architecture Design I</t>
  </si>
  <si>
    <t>Architecture Design II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</si>
  <si>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</si>
  <si>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 Architecture Design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</si>
  <si>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</si>
  <si>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CTE Campus-Based Program of Study Priority #2: Agricuture ( Environmental)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</si>
  <si>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</si>
  <si>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Princiapls of Agriculture, Food and Natural Resources</t>
  </si>
  <si>
    <t>James, Megan</t>
  </si>
  <si>
    <t>Agriculture, Food &amp; Natural Resources 6-12</t>
  </si>
  <si>
    <t>Energy and Natural Resources</t>
  </si>
  <si>
    <t>Advanced Energy and Natural Resources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</si>
  <si>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</si>
  <si>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Natural Resource Systems L1 </t>
  </si>
  <si>
    <t>Practucum in  Agriculture.....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</si>
  <si>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</si>
  <si>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Natural Resource Systems L2</t>
  </si>
  <si>
    <t>Jean Laswell</t>
  </si>
  <si>
    <t>Deputy Chief:</t>
  </si>
  <si>
    <t>Oswaldo Alvarenga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</si>
  <si>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</si>
  <si>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General Employability Skills, Entrepreneurship</t>
  </si>
  <si>
    <t>*</t>
  </si>
  <si>
    <t xml:space="preserve"> Construction &amp; Carpentry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</si>
  <si>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</si>
  <si>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Construction Dual Language</t>
  </si>
  <si>
    <t>Adrienne Jones</t>
  </si>
  <si>
    <t>Isidoro Hernandez</t>
  </si>
  <si>
    <t>DOI - Construction</t>
  </si>
  <si>
    <t xml:space="preserve">NCCER Core Curriculum </t>
  </si>
  <si>
    <t>Construction Technology I Dual Language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</si>
  <si>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</si>
  <si>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Harold Torres</t>
  </si>
  <si>
    <t>NCCER Carpentry I</t>
  </si>
  <si>
    <t>Construction Technology II</t>
  </si>
  <si>
    <t>Antonio Morton</t>
  </si>
  <si>
    <t>NCCER Carpentry II</t>
  </si>
  <si>
    <t>Practicum in Construction Technology</t>
  </si>
  <si>
    <t>DOI Construction</t>
  </si>
  <si>
    <t>Construction &amp; Carpentry</t>
  </si>
  <si>
    <t>Electrical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</si>
  <si>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</si>
  <si>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Principles of Construction 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</si>
  <si>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</si>
  <si>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</si>
  <si>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Construction</t>
  </si>
  <si>
    <t>Bleyer
Pina
Salas
Stotts
Price
Smith</t>
  </si>
  <si>
    <t>DOI
DOI
DOI
Vocational Industrial CVAE (6-12)
DOI
DOI</t>
  </si>
  <si>
    <t xml:space="preserve">NCCER Core </t>
  </si>
  <si>
    <t>Construction Technology I</t>
  </si>
  <si>
    <t>Pina
Salas
Stotts
Price</t>
  </si>
  <si>
    <t>DOI
DOI
Vocational Industrial CVAE (6-12)
DOI</t>
  </si>
  <si>
    <t>NCCER Carpenty Level I</t>
  </si>
  <si>
    <t>Trinh Vu</t>
  </si>
  <si>
    <t>Bleyer
Stotts
Smith</t>
  </si>
  <si>
    <t>DOI
Vocational Industrial CVAE (6-12)
DOI</t>
  </si>
  <si>
    <t>Electrical Technology I</t>
  </si>
  <si>
    <t>NCCER Carpentry Level II</t>
  </si>
  <si>
    <t>Bleyer
Stotts
Smithh</t>
  </si>
  <si>
    <t>Richard Shepherd</t>
  </si>
  <si>
    <t>DOI - Electrical</t>
  </si>
  <si>
    <t>NCCER Electrical I</t>
  </si>
  <si>
    <t>Electrical Technology II</t>
  </si>
  <si>
    <t>NCCER Electrical II</t>
  </si>
  <si>
    <t>SACA C201 Electrical Systems 1</t>
  </si>
  <si>
    <t>Plumbing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</si>
  <si>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</si>
  <si>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HVAC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</si>
  <si>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</si>
  <si>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NCCER Core</t>
  </si>
  <si>
    <t>Plumbing Technology I</t>
  </si>
  <si>
    <t>Principles of Construction - Dual Language</t>
  </si>
  <si>
    <t>Scurlark</t>
  </si>
  <si>
    <t>NCCER Plumbing Level I</t>
  </si>
  <si>
    <t>Plumbing Technology II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</si>
  <si>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prioritize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</si>
  <si>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HVAC/R Technology I- Dual Language</t>
  </si>
  <si>
    <t>NCCER Plumbing Level II</t>
  </si>
  <si>
    <t>Jonathan Lopez</t>
  </si>
  <si>
    <t>Trade &amp; Industrial Education Certified</t>
  </si>
  <si>
    <t xml:space="preserve">NCCER HVAC Level I </t>
  </si>
  <si>
    <t>HVAC/R Technology II - Dual Language</t>
  </si>
  <si>
    <t>NCCER HVAC Level II (non A-F)
EPA 608</t>
  </si>
  <si>
    <t>Eric Jordan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</si>
  <si>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</si>
  <si>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</si>
  <si>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HVAC/R Technology I</t>
  </si>
  <si>
    <t>Dix</t>
  </si>
  <si>
    <t xml:space="preserve">NCCER Level I </t>
  </si>
  <si>
    <t>HVAC/R Technology II</t>
  </si>
  <si>
    <t>DOI - Plumbing</t>
  </si>
  <si>
    <t>NCCER Plumbing I</t>
  </si>
  <si>
    <t>NCCER Level II (non A-F)
EPA 608</t>
  </si>
  <si>
    <t>General Employability Skills, Entrepreneurship, Entrepreneurship 2</t>
  </si>
  <si>
    <t xml:space="preserve">NCCER Plumbing II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</si>
  <si>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</si>
  <si>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Architectural Design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</si>
  <si>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</si>
  <si>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</si>
  <si>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Victor Roberson
Fernando Bautista
Lupe Cardenas</t>
  </si>
  <si>
    <t>DOI
DOI
Tech Ed (6-12)</t>
  </si>
  <si>
    <t>Dani Weatherd</t>
  </si>
  <si>
    <t>Family &amp; Consumer Science 6-12</t>
  </si>
  <si>
    <t>NCCER Level I</t>
  </si>
  <si>
    <t>NCCER Electrical Level I</t>
  </si>
  <si>
    <t xml:space="preserve">Victor Roberson </t>
  </si>
  <si>
    <t>Iris Claudio-Rivera</t>
  </si>
  <si>
    <t>Technology Education</t>
  </si>
  <si>
    <t>NCCER Level II</t>
  </si>
  <si>
    <t xml:space="preserve">Autodesk Associate Revit </t>
  </si>
  <si>
    <t>NCCER Electrical Level II</t>
  </si>
  <si>
    <t>Salvador Becerra
Jim Green</t>
  </si>
  <si>
    <t>LEED Green Associate</t>
  </si>
  <si>
    <t>Masonry</t>
  </si>
  <si>
    <t>Interior Design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</si>
  <si>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</si>
  <si>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</si>
  <si>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</si>
  <si>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Principles of Architecture </t>
  </si>
  <si>
    <t>HVAC Technology I</t>
  </si>
  <si>
    <t>Masonary Technology I</t>
  </si>
  <si>
    <t>Joshua Noel</t>
  </si>
  <si>
    <t>Ruiz, Kevin</t>
  </si>
  <si>
    <t>HVAC Technology II</t>
  </si>
  <si>
    <t>NCCER Masonry Level I</t>
  </si>
  <si>
    <t>Masonary Technology II</t>
  </si>
  <si>
    <t>Becky Palmer
Jeannette Glass</t>
  </si>
  <si>
    <t>Business
Business</t>
  </si>
  <si>
    <t>Salvador Becerra
Joshua Noel</t>
  </si>
  <si>
    <t xml:space="preserve">NCCER Masonry Level II </t>
  </si>
  <si>
    <t>Practicum in Masonary Technology</t>
  </si>
  <si>
    <t>Bridget Williams</t>
  </si>
  <si>
    <t>Jeannette Glass</t>
  </si>
  <si>
    <t>Business</t>
  </si>
  <si>
    <t xml:space="preserve">Practicum in Interior Design </t>
  </si>
  <si>
    <t>OR Practicum in Entrepreneurship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</si>
  <si>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</si>
  <si>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Advanced Manufacturing: Industrial Robotics (Sunsetting)</t>
  </si>
  <si>
    <t>Charlie Diaz
Fernando Bautista
Jim Green</t>
  </si>
  <si>
    <t>DOI
DOI
DOI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</si>
  <si>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</si>
  <si>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Manufacturing Technology II</t>
  </si>
  <si>
    <t>Charlie Diaz</t>
  </si>
  <si>
    <t>Rafael Alonso</t>
  </si>
  <si>
    <t>C-103 Certified Industry 4.0 Associate - Robot System Operations</t>
  </si>
  <si>
    <t>Robotics II</t>
  </si>
  <si>
    <t xml:space="preserve">CTE Campus-Based Program of Study Priority #7: </t>
  </si>
  <si>
    <t>Practicum in Manufacturing Technology</t>
  </si>
  <si>
    <t>Aviation Pilot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</si>
  <si>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</si>
  <si>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Introduction to Aerospace and Aviation</t>
  </si>
  <si>
    <t>N1304672</t>
  </si>
  <si>
    <t>Michael Johnson</t>
  </si>
  <si>
    <t>DOI Aviation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</si>
  <si>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</si>
  <si>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Introduction to Unmanned Aerial Vehicles (UAV) Flight</t>
  </si>
  <si>
    <t>N1304670</t>
  </si>
  <si>
    <t>Barbara Gotcher</t>
  </si>
  <si>
    <t>FAA Part 107 Remote Drone Pilot</t>
  </si>
  <si>
    <t>Charles Blacklock
Juan Mejia</t>
  </si>
  <si>
    <t>Plumbing  Technology II</t>
  </si>
  <si>
    <t>Aviation Honors Ground School (Phasing Out - Last Year)</t>
  </si>
  <si>
    <t>N1304675</t>
  </si>
  <si>
    <t>Charles Blacklock</t>
  </si>
  <si>
    <t>NCCER Plumbing II</t>
  </si>
  <si>
    <t>DOI - Aviation</t>
  </si>
  <si>
    <t>Practicum in Transportation Systems I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</si>
  <si>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</si>
  <si>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03580140</t>
  </si>
  <si>
    <t>Practicum in Transportation Systems II</t>
  </si>
  <si>
    <t>Sharon Veal</t>
  </si>
  <si>
    <t>CodeHS Python Level 1</t>
  </si>
  <si>
    <t>Foundations of Cybersecurity</t>
  </si>
  <si>
    <t>03580850</t>
  </si>
  <si>
    <t>OR Practicum in Entrepreneurship (beginning 2026-2027)</t>
  </si>
  <si>
    <t>Selena Simpson</t>
  </si>
  <si>
    <t>CodeHS Cybersecurity Level 1</t>
  </si>
  <si>
    <t>Computer Maintenance</t>
  </si>
  <si>
    <t>Diagnostic and Therapeutic Services: Patient Care Technician</t>
  </si>
  <si>
    <t>TBD</t>
  </si>
  <si>
    <t>Slather Altimarano Vasquez
Jesse Hurtado</t>
  </si>
  <si>
    <t>Trade and Industry</t>
  </si>
  <si>
    <t>CompTia IT Fundamentals</t>
  </si>
  <si>
    <t>Cybersecurity Capstone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</si>
  <si>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</si>
  <si>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Eduardo Paredes- Diaz </t>
  </si>
  <si>
    <t xml:space="preserve"> CodeHS Cybersecurity Level 1 OR
CompTia A+</t>
  </si>
  <si>
    <t>Networking</t>
  </si>
  <si>
    <t xml:space="preserve">CTE Campus-Based Program of Study Priority #8: </t>
  </si>
  <si>
    <t xml:space="preserve">Slather Altimarano Vasquez
</t>
  </si>
  <si>
    <t>Information Technology Specialist: Networking</t>
  </si>
  <si>
    <t>Practicum in I.T.</t>
  </si>
  <si>
    <t>Yolanda Bobby
Mirea Tranquilino
Erica Vasquez</t>
  </si>
  <si>
    <t>Daniel Cerda/Jesse Hurtado</t>
  </si>
  <si>
    <t xml:space="preserve">DOI
DOI
DOI </t>
  </si>
  <si>
    <t>CompTIA A+ Certification</t>
  </si>
  <si>
    <t>Medical Terminology</t>
  </si>
  <si>
    <t>Martin Ketola</t>
  </si>
  <si>
    <t>Trade &amp; Industrial - Automotive</t>
  </si>
  <si>
    <t>609 Refrigerant &amp; Handling Certification</t>
  </si>
  <si>
    <t>Automotive Technology I: Maintenance &amp; Light Repair</t>
  </si>
  <si>
    <t>Sherille Honore
Liyah Joseph
Erica Vasquez</t>
  </si>
  <si>
    <t>DOI
DOI 
DOI</t>
  </si>
  <si>
    <t>Health Science Theory- 1 credit</t>
  </si>
  <si>
    <t>Diego Suarez
David Anaya</t>
  </si>
  <si>
    <t>Automotive Technology II/Lab</t>
  </si>
  <si>
    <t>Mirea Tranquilino
Michelle Martin</t>
  </si>
  <si>
    <t>DOI 
DOI</t>
  </si>
  <si>
    <t>Anatomy &amp; Physiology</t>
  </si>
  <si>
    <t>Starting in 25-26</t>
  </si>
  <si>
    <t>Sherille Honore
Carla Melgar</t>
  </si>
  <si>
    <t xml:space="preserve">DOI
DOI </t>
  </si>
  <si>
    <t>Practicum in Patient Care Technician I</t>
  </si>
  <si>
    <t>Starting in 26-27</t>
  </si>
  <si>
    <t>Liyah Joseph
Yolanda Boby</t>
  </si>
  <si>
    <t>Practicum in Patient Care Technician II</t>
  </si>
  <si>
    <t>Programming and Software Development: Video Game Design</t>
  </si>
  <si>
    <t>Erica Vasquez
Yolanda Bobby</t>
  </si>
  <si>
    <t>Certified Patient Care Technician</t>
  </si>
  <si>
    <t>Electronics Technology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</si>
  <si>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</si>
  <si>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Manufacturing</t>
  </si>
  <si>
    <t>Khahim Sherin</t>
  </si>
  <si>
    <t>DOI - Adv Mfg</t>
  </si>
  <si>
    <r>
      <rPr>
        <rFont val="Arial"/>
        <color theme="1"/>
      </rPr>
      <t xml:space="preserve">AC/DC Electronics
</t>
    </r>
    <r>
      <rPr>
        <rFont val="Arial"/>
        <color rgb="FF666666"/>
      </rPr>
      <t>(DC Electronics is taught in 1st Semester and AC Electronics is taught in 2nd Semester)</t>
    </r>
  </si>
  <si>
    <t>Diagnostic and Therapeutic Services: Pharmacy Technician</t>
  </si>
  <si>
    <t>Mijo Joy</t>
  </si>
  <si>
    <t>C-101 Certified Industry 4.0 Associate - Basic Operations</t>
  </si>
  <si>
    <t>Project Based Research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</si>
  <si>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</si>
  <si>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03580380</t>
  </si>
  <si>
    <t>C-201 Certified Industry 4.0 Specialist- Electrical Systems 1</t>
  </si>
  <si>
    <t xml:space="preserve">Digital Electronics
</t>
  </si>
  <si>
    <t>Isaiah Mercado</t>
  </si>
  <si>
    <t>Solid State Electronics</t>
  </si>
  <si>
    <t>Information Technology Specialist: Javascript</t>
  </si>
  <si>
    <t>03580200</t>
  </si>
  <si>
    <t>2 Dallas College Courses - Dual Credit - 2 CREDIT / Pract of Manufactoring (Based on Agreement)</t>
  </si>
  <si>
    <t>Bryan Campbell</t>
  </si>
  <si>
    <t>Computer Science</t>
  </si>
  <si>
    <t>Certified Entry-Level Python Programmer (PCEP) OR
Codehs Python  Level 1 Certification</t>
  </si>
  <si>
    <t>Computer Science II</t>
  </si>
  <si>
    <t>03580300</t>
  </si>
  <si>
    <t>Starting in 27-28</t>
  </si>
  <si>
    <t>Information Technology Specialist: Java</t>
  </si>
  <si>
    <t>Mobile Application Development</t>
  </si>
  <si>
    <t>03580390</t>
  </si>
  <si>
    <t xml:space="preserve">CTE Campus-Based Program of Study Priority #9: </t>
  </si>
  <si>
    <t>Practicum in Pharmacy Technician I</t>
  </si>
  <si>
    <t>Advanced Manufacturing: Industrial Maintenance (Sunsetting)</t>
  </si>
  <si>
    <t>Microsoft Azure AI Data Fundamentals</t>
  </si>
  <si>
    <t>Carla Melgar</t>
  </si>
  <si>
    <t>Practicum in STEM</t>
  </si>
  <si>
    <t>Practicum in Pharmacy Technician II</t>
  </si>
  <si>
    <t>Manufacturing Technology II (Phasing out this program of study; moving to Electronics Technology- 2025-2026 last year)</t>
  </si>
  <si>
    <t>Certified Pharmacy Technician</t>
  </si>
  <si>
    <t>Sherin Khayam</t>
  </si>
  <si>
    <t>NIMS ITM: Maintenance Operations</t>
  </si>
  <si>
    <t xml:space="preserve">Mijo Joy
</t>
  </si>
  <si>
    <t xml:space="preserve">DOI
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</si>
  <si>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</si>
  <si>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Foundations of Cybersecurity </t>
  </si>
  <si>
    <t>Welding</t>
  </si>
  <si>
    <t>Peter Pich</t>
  </si>
  <si>
    <t>Tech Apps (8-12)</t>
  </si>
  <si>
    <t>IC3 Digital Literacy, Levels 1-3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</si>
  <si>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</si>
  <si>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James Teel</t>
  </si>
  <si>
    <t>Introduction to Welding</t>
  </si>
  <si>
    <t>Aviation Flight</t>
  </si>
  <si>
    <t>Computer Science (8-12)
Tech Apps (8-12)</t>
  </si>
  <si>
    <t>CodeHS Cybersecurity Level 1 Certification</t>
  </si>
  <si>
    <t>Carver Malone</t>
  </si>
  <si>
    <t>Khalum Brewer</t>
  </si>
  <si>
    <t>DOI
Tech Apps (8-12)</t>
  </si>
  <si>
    <t>DOI - Welding</t>
  </si>
  <si>
    <t>Welding I</t>
  </si>
  <si>
    <t>N1302803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</si>
  <si>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</si>
  <si>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Lupe Cardenas</t>
  </si>
  <si>
    <t>Tech Ed (6-12)</t>
  </si>
  <si>
    <t>CompTIA Networking+</t>
  </si>
  <si>
    <t>NCCER Welding Level I</t>
  </si>
  <si>
    <t xml:space="preserve">Cybersecurity Capstone </t>
  </si>
  <si>
    <t>Welding II</t>
  </si>
  <si>
    <t xml:space="preserve">Computer Science (8-12) </t>
  </si>
  <si>
    <t>AWS D1.1 Structural Steel</t>
  </si>
  <si>
    <t xml:space="preserve">Digital Forensics </t>
  </si>
  <si>
    <t>Practicum in Manfuacturing</t>
  </si>
  <si>
    <t>Snell, Danielle
Eastin, Dylan</t>
  </si>
  <si>
    <t>Introduction to Unmanned Aerial Vehicles Flight</t>
  </si>
  <si>
    <t>Practicum in IT</t>
  </si>
  <si>
    <t>AWS D9.1 Sheet Metal Welding</t>
  </si>
  <si>
    <t>Snell, Danielle</t>
  </si>
  <si>
    <t>Aviation Ground School</t>
  </si>
  <si>
    <t>Cybersecurity 24-25 PILOT PROGRAM WITH COLLEGE BOARD</t>
  </si>
  <si>
    <t>Eastin, Dylan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</si>
  <si>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 xml:space="preserve">(To be completed by CTE Department)
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</si>
  <si>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</si>
  <si>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Leonardo Painevilo</t>
  </si>
  <si>
    <t>Portia Turner</t>
  </si>
  <si>
    <t>Portia Turner
Amber Wood</t>
  </si>
  <si>
    <t>Dwayne Dorsey</t>
  </si>
  <si>
    <t>Technology Applications 8-12</t>
  </si>
  <si>
    <t>Amber Wood
Bryana Cozart</t>
  </si>
  <si>
    <t>Autodesk Associate AutoCAD</t>
  </si>
  <si>
    <t>CompTIA A+</t>
  </si>
  <si>
    <t>Practicum in Interior Design</t>
  </si>
  <si>
    <t>CompTIA Security+</t>
  </si>
  <si>
    <t xml:space="preserve">CTE Campus-Based Program of Study Priority #10: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</si>
  <si>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</si>
  <si>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Entrepreneurship (Aligned w/Interior Design Only) - Not on Brochure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</si>
  <si>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</si>
  <si>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Lugo, Erik</t>
  </si>
  <si>
    <t xml:space="preserve">CTE Campus-Based Program of Study Priority #12: </t>
  </si>
  <si>
    <t>Shardae Patterson</t>
  </si>
  <si>
    <t>Marketing (6-12)</t>
  </si>
  <si>
    <t>Williams, Carlton
Latham, Scott</t>
  </si>
  <si>
    <t>Technology Education (6-12)
Technology Education (6-12)</t>
  </si>
  <si>
    <t>Brandon Brown
Brooke Ayars</t>
  </si>
  <si>
    <t>Business Education (6-12)
Hosp, Nutri &amp; Food (8-12)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</si>
  <si>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</si>
  <si>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Latham, Scott</t>
  </si>
  <si>
    <t>Daniel Clark</t>
  </si>
  <si>
    <t>Practicum in Architectural Design</t>
  </si>
  <si>
    <t>Ibrahim Mohamed</t>
  </si>
  <si>
    <t>DOI - Computer Science</t>
  </si>
  <si>
    <t>Richard Ray</t>
  </si>
  <si>
    <r>
      <rPr>
        <rFont val="Arial"/>
        <color theme="1"/>
      </rPr>
      <t xml:space="preserve">CodeHS Python Level 1 Certification </t>
    </r>
    <r>
      <rPr>
        <rFont val="Arial"/>
        <b/>
        <color theme="1"/>
      </rPr>
      <t xml:space="preserve">OR 
</t>
    </r>
    <r>
      <rPr>
        <rFont val="Arial"/>
        <color theme="1"/>
      </rPr>
      <t>Information Technology Specialist: JavaScript</t>
    </r>
    <r>
      <rPr>
        <rFont val="Arial"/>
        <b/>
        <color theme="1"/>
      </rPr>
      <t xml:space="preserve">
</t>
    </r>
  </si>
  <si>
    <t>Moises Sanchez-Bueno</t>
  </si>
  <si>
    <t>Microsoft Azure AI  Fundamentals</t>
  </si>
  <si>
    <t>Elective - Entrepreneurship</t>
  </si>
  <si>
    <t xml:space="preserve">CTE Campus-Based Program of Study Priority #11: </t>
  </si>
  <si>
    <t>24-25</t>
  </si>
  <si>
    <t>1st Course</t>
  </si>
  <si>
    <t>2 Course</t>
  </si>
  <si>
    <t>9th</t>
  </si>
  <si>
    <t>Principles of Architecture - 1 CREDIT</t>
  </si>
  <si>
    <t>Ent 1 - 1 CREDIT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</si>
  <si>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</si>
  <si>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10th</t>
  </si>
  <si>
    <t>Interior Design I - CREDIT</t>
  </si>
  <si>
    <t>Ent 2 - 1 CREDIT</t>
  </si>
  <si>
    <t>11th</t>
  </si>
  <si>
    <t>Interior Design II - 1 CREDIT</t>
  </si>
  <si>
    <t>ELECTIVE</t>
  </si>
  <si>
    <t>12th</t>
  </si>
  <si>
    <t>Computer Aided Drafting for Architecture - 1 CREDIT</t>
  </si>
  <si>
    <t xml:space="preserve">CTE Campus-Based Program of Study Priority #13: </t>
  </si>
  <si>
    <t>25-26</t>
  </si>
  <si>
    <t>1 Capstone - ID - 1 CREDIT</t>
  </si>
  <si>
    <t>User Design or Mobile Apps - 1 CREDIT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</si>
  <si>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</si>
  <si>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Polk, Jaime</t>
  </si>
  <si>
    <t>Renicka Handy
Sha'Terri Knight</t>
  </si>
  <si>
    <t>DOI - Health Science
DOI - Health Science</t>
  </si>
  <si>
    <t>Baker, Rebecca</t>
  </si>
  <si>
    <t>Dwayne Cawthon
TBD - Dental Teacher</t>
  </si>
  <si>
    <t>Polk, Jamie</t>
  </si>
  <si>
    <t>Interior Design II - 2 CREDIT</t>
  </si>
  <si>
    <t>Health Science Theory (1 credit)</t>
  </si>
  <si>
    <t>LaToyia McDonald</t>
  </si>
  <si>
    <t xml:space="preserve">PRACTICUM ID - 2 CREDIT </t>
  </si>
  <si>
    <t>OR</t>
  </si>
  <si>
    <t>PRACTICUM ENT - 2 CREDIT</t>
  </si>
  <si>
    <t>TBD - EMT Teacher
Debra Lane</t>
  </si>
  <si>
    <t>Practicum in Health Science – Patient Care Tech</t>
  </si>
  <si>
    <t>Deborah Sanso</t>
  </si>
  <si>
    <t>Health Science, Grades 6-12</t>
  </si>
  <si>
    <t>Patient Care Technician 
EKG and/or Phlebotomy Technician</t>
  </si>
  <si>
    <t>Diagnostic and Therapeutic Services: EKG &amp; Phlebotomy Technician</t>
  </si>
  <si>
    <t xml:space="preserve">CTE Campus-Based Program of Study Priority #14: </t>
  </si>
  <si>
    <t>Diagnostic and Therapeutic Services: Dental Assistant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</si>
  <si>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</si>
  <si>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</si>
  <si>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Laverne Buie
Alejandro Contreras
Dimitri Gayden
Ayla Hawley
Ashley Roberts</t>
  </si>
  <si>
    <t>DOI
DOI
DOI
Health Science (6-12)
Health Science (6-12), SPED (EC-12)</t>
  </si>
  <si>
    <t>Health Science Theory/Clinical</t>
  </si>
  <si>
    <t>Dwayne Cawthon
Sha'Terri Knight</t>
  </si>
  <si>
    <t>Laverne Buie
Alejandro Contreras
Dimitri Gayden
Paiton Maples</t>
  </si>
  <si>
    <t>DOI
DOI
DOI
DOI</t>
  </si>
  <si>
    <t>Practicum in Health Science – Medical Lab</t>
  </si>
  <si>
    <t>LaToyia McDonald
Debra Lane</t>
  </si>
  <si>
    <t>Ashley Roberts</t>
  </si>
  <si>
    <t>Health Science (6-12), SPED (EC-12)</t>
  </si>
  <si>
    <t>Practicum in Health Science I – Dental Asst. 1</t>
  </si>
  <si>
    <t xml:space="preserve">Certified EKG Technician
Phlebotomy Technician </t>
  </si>
  <si>
    <t>Practicum in Health Science II – Dental Asst. 2</t>
  </si>
  <si>
    <t xml:space="preserve">Certified Dental Assistant </t>
  </si>
  <si>
    <t xml:space="preserve">CTE Campus-Based Program of Study Priority #15: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</si>
  <si>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</si>
  <si>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</si>
  <si>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Health Science I – Medical Lab I</t>
  </si>
  <si>
    <t>Practicum in Health Science II – Medical Lab II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</si>
  <si>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</si>
  <si>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t>Ayla Hawley</t>
  </si>
  <si>
    <t xml:space="preserve">Health Science (6-12)
</t>
  </si>
  <si>
    <t xml:space="preserve">Patient Care Technician </t>
  </si>
  <si>
    <t xml:space="preserve">CTE Campus-Based Program of Study Priority #16: </t>
  </si>
  <si>
    <t>Diagnostic and Therapeutic Services: Emergency Medical Technician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</si>
  <si>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</si>
  <si>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</si>
  <si>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Health Science and Medical Terminology</t>
  </si>
  <si>
    <t>Practicum in Health Science I – EMT Lab I</t>
  </si>
  <si>
    <t>Practicum in Health Science II – EMT Lab II</t>
  </si>
  <si>
    <t>Practicum in Health Science – Pharmacy Tech 1</t>
  </si>
  <si>
    <t>Emergency Medical Responder</t>
  </si>
  <si>
    <t>Sherita Horne</t>
  </si>
  <si>
    <t>Practicum in Health Science – Pharmacy Tech 2</t>
  </si>
  <si>
    <t>Pharmacy Technician</t>
  </si>
  <si>
    <t xml:space="preserve">CTE Campus-Based Program of Study Priority #17: </t>
  </si>
  <si>
    <t>Culinary Arts - Inclusion/Modified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</si>
  <si>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</si>
  <si>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</si>
  <si>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Healthcare Therapeutics: Dental Assistant</t>
  </si>
  <si>
    <t>William Milligan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</si>
  <si>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</si>
  <si>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DOI - Culinary Arts</t>
  </si>
  <si>
    <t>ServSafe Food Handlers</t>
  </si>
  <si>
    <t>Practicum in Culinary Arts II</t>
  </si>
  <si>
    <t>Construction Technology 1 Dual Language</t>
  </si>
  <si>
    <t>Start 25-26</t>
  </si>
  <si>
    <t>Registered Dental Assistant X-Ray Certification</t>
  </si>
  <si>
    <t>Construction Technology 2</t>
  </si>
  <si>
    <t xml:space="preserve">CTE Campus-Based Program of Study Priority #18: </t>
  </si>
  <si>
    <t>Robotics and Automation Technology - Inclusion/Modified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</si>
  <si>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</si>
  <si>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De Laina Parker</t>
  </si>
  <si>
    <t>Robotics I</t>
  </si>
  <si>
    <t>Practicum in Manufacturing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</si>
  <si>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</si>
  <si>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Welding II/Lab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</si>
  <si>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</si>
  <si>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CTE Campus-Based Program of Study Priority #19: </t>
  </si>
  <si>
    <t>Building Maintenance Technology II</t>
  </si>
  <si>
    <t>Electrical Technology 1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</si>
  <si>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</si>
  <si>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Juan Contreras</t>
  </si>
  <si>
    <t>Electrical Technology 2</t>
  </si>
  <si>
    <t>HBI Pre-Apprenticeship Certificate Training (PACT), Core</t>
  </si>
  <si>
    <t>Building Maintenance  Technology I</t>
  </si>
  <si>
    <t>HBI Pre-Apprenticeship Certificate Training (PACT), Basic Carpentry</t>
  </si>
  <si>
    <t>Building Maintenance Technology 2</t>
  </si>
  <si>
    <t>Practicum in Construction Management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</si>
  <si>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</si>
  <si>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</si>
  <si>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Principles of Construction </t>
  </si>
  <si>
    <t>HVAC/R Technology 1</t>
  </si>
  <si>
    <t>Trade &amp; Industrial Education - HVAC</t>
  </si>
  <si>
    <t>HVAC/R Technology 2</t>
  </si>
  <si>
    <r>
      <rPr>
        <rFont val="Arial"/>
        <color rgb="FF000000"/>
      </rPr>
      <t xml:space="preserve">Please complete all GREEN sections for each CTE Campus-Based Program of Study.
</t>
    </r>
    <r>
      <rPr>
        <rFont val="Arial"/>
        <b/>
        <color rgb="FF000000"/>
        <sz val="8.0"/>
      </rPr>
      <t xml:space="preserve">Campuses should prioitize creating Programs of Study focused on students becoming CTE Completers.
CTE Explorers: </t>
    </r>
    <r>
      <rPr>
        <rFont val="Arial"/>
        <color rgb="FF000000"/>
        <sz val="8.0"/>
      </rPr>
      <t xml:space="preserve">2+ CTE Courses for 2+ Credits in different Programs of Study
</t>
    </r>
    <r>
      <rPr>
        <rFont val="Arial"/>
        <b/>
        <color rgb="FF000000"/>
        <sz val="8.0"/>
      </rPr>
      <t>CTE Concentrator:</t>
    </r>
    <r>
      <rPr>
        <rFont val="Arial"/>
        <color rgb="FF000000"/>
        <sz val="8.0"/>
      </rPr>
      <t xml:space="preserve"> 2+ CTE Courses for 2+ Credits in the same Program of Study
</t>
    </r>
    <r>
      <rPr>
        <rFont val="Arial"/>
        <b/>
        <color rgb="FF000000"/>
        <sz val="8.0"/>
      </rPr>
      <t>CTE Completer:</t>
    </r>
    <r>
      <rPr>
        <rFont val="Arial"/>
        <color rgb="FF000000"/>
        <sz val="8.0"/>
      </rPr>
      <t xml:space="preserve"> 3+ CTE Courses for 4+ Credits in the same Program of Study, including one level 3 or level 4 course within same Program of Study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</si>
  <si>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</si>
  <si>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Dr. Frederick D. Haynes, III Global Preparatory Academy at Paul Quinn College</t>
  </si>
  <si>
    <t>DOI - HVAC</t>
  </si>
  <si>
    <t xml:space="preserve"> NCCER Level II OR  EPA 608</t>
  </si>
  <si>
    <t>General Bennett</t>
  </si>
  <si>
    <t>Start 26-27</t>
  </si>
  <si>
    <t xml:space="preserve"> CTE Campus-Based Program of Study Priority #1: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</si>
  <si>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</si>
  <si>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</si>
  <si>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</si>
  <si>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Iron Mallard</t>
  </si>
  <si>
    <t>Servsafe Food Handlers</t>
  </si>
  <si>
    <t>Wendy Lindsey</t>
  </si>
  <si>
    <t>Business Information Management 1</t>
  </si>
  <si>
    <t>Microsoft Office Expert Word</t>
  </si>
  <si>
    <t>Plumbing Technology 1</t>
  </si>
  <si>
    <t>Huey Vu</t>
  </si>
  <si>
    <t>Plumbing Technology 2</t>
  </si>
  <si>
    <t xml:space="preserve">CTE Campus-Based Program of Study Priority #20: </t>
  </si>
  <si>
    <t>Industrial Robotics - Inclusion/Modified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</si>
  <si>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</si>
  <si>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</si>
  <si>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 C-101 Certified Industry 4.0 Associate - Basic Operations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</si>
  <si>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</si>
  <si>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Architectural Design 1 </t>
  </si>
  <si>
    <t xml:space="preserve">CTE Campus-Based Program of Study Priority #21: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</si>
  <si>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</si>
  <si>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</si>
  <si>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Polk/Thomas/Renfro/Alford</t>
  </si>
  <si>
    <t xml:space="preserve">        Business Education Grades (6-12) / Family and Consumer Sciences Grades 6-12)/ Vocational Trades &amp; Industry Co-op Grades (6-12)/Vocational Home Economics Education Grades (6-12)</t>
  </si>
  <si>
    <t xml:space="preserve">AutoCAD </t>
  </si>
  <si>
    <t xml:space="preserve">Architectural Design 2 </t>
  </si>
  <si>
    <t>Electronics Technology (Dallas College)</t>
  </si>
  <si>
    <t>Autodesk Associaten Revit for Architectural
Design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</si>
  <si>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</si>
  <si>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Alicia Brauer
Karina Salazar</t>
  </si>
  <si>
    <t>Autodesk Associate in Revit for Architectural
Design</t>
  </si>
  <si>
    <t>AC/DC Electronics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</si>
  <si>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</si>
  <si>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START 26-27</t>
  </si>
  <si>
    <t>START 27-28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</si>
  <si>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</si>
  <si>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Automotive - Technology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</si>
  <si>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</si>
  <si>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</si>
  <si>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ASE Entry-Level Automobile Maintenance and Light Repair (MR)
ASE Entry-Level Automobile Electronic/Electrical Systems (EE)
ASE Entry-Level Automobile Brakes (BR)
ASE Entry-Level Automobile Heating &amp; Air Conditioning</t>
  </si>
  <si>
    <t>DOI - Interior Design</t>
  </si>
  <si>
    <t>OR PRACT IN ENT</t>
  </si>
  <si>
    <t>CLICK HERE FOR UPDATED VERSION WITH ENT OPTION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</si>
  <si>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</si>
  <si>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One Year IMPLEMENTATION PLAN - will be on the campuses as they transition</t>
  </si>
  <si>
    <t>Introduction to Aerospace and Aviation - 1 CREDIT</t>
  </si>
  <si>
    <t>ENT 1 - 1 CREDIT</t>
  </si>
  <si>
    <t>ELECTIVES WILL FOLLOW ENT</t>
  </si>
  <si>
    <t>Introduction to Unmanned Aerial Vehicles (UAV) Flight - 1 CREDIT</t>
  </si>
  <si>
    <t>ENT 2 - 1 CREDIT</t>
  </si>
  <si>
    <t>Practicum in Transportation Systems 1 - 2 CREDITS</t>
  </si>
  <si>
    <t>Practicum in Transportation Systems 2 - 2 CREDITS</t>
  </si>
  <si>
    <t>PRACT ENT - 2 CREDIT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</si>
  <si>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</si>
  <si>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Automotive Technology 1: Maintenance &amp; Light Repair</t>
  </si>
  <si>
    <t>60
60</t>
  </si>
  <si>
    <t>Diego Suarez
TBD</t>
  </si>
  <si>
    <t>DOI - Automotive
TBD</t>
  </si>
  <si>
    <t xml:space="preserve">
ASE Entry-Level Automobile Brakes (BR)
ASE Entry-Level Automobile Suspension and Steering (SS)</t>
  </si>
  <si>
    <t>Automotive Technology 2/Lab</t>
  </si>
  <si>
    <t>ASE Entry-Level Automobile Engine Repair"ASE Entry-Level Automobile Maintenance and Light Repair (MR)
ASE Entry-Level Automobile Electronic/Electrical Systems (EE)
ASE Entry-Level Automobile Heating &amp; Air Conditioning</t>
  </si>
  <si>
    <r>
      <rPr>
        <rFont val="Arial"/>
        <b/>
        <strike/>
        <color theme="1"/>
      </rPr>
      <t>Advanced Manufacturing: Industrial Robotics</t>
    </r>
    <r>
      <rPr>
        <rFont val="Arial"/>
        <b/>
        <color theme="1"/>
      </rPr>
      <t xml:space="preserve">   NOW Electronics Technology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</si>
  <si>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</si>
  <si>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Mech Sunsetting</t>
  </si>
  <si>
    <t>NEW Electronics Technology</t>
  </si>
  <si>
    <t>INCLUSION (NB)</t>
  </si>
  <si>
    <t>Principles of Manufacturing - 1 CREDIT
(no IBC aligned)</t>
  </si>
  <si>
    <t>DOI - Manufacturing Engineering</t>
  </si>
  <si>
    <t>NIMS Maintenance Operations / 
ITM Maintenance Operations (Electronics Tech)</t>
  </si>
  <si>
    <t>Manufacturing Engineering Technology 1</t>
  </si>
  <si>
    <r>
      <rPr>
        <rFont val="Arial"/>
        <color theme="1"/>
      </rPr>
      <t xml:space="preserve">DC Electronics &amp; AC Electronics - 1 CREDIT
Project Based Research - 1 CREDIT
</t>
    </r>
    <r>
      <rPr>
        <rFont val="Arial"/>
        <b/>
        <color theme="1"/>
      </rPr>
      <t xml:space="preserve">(C201 - A-F IBC)
</t>
    </r>
    <r>
      <rPr>
        <rFont val="Arial"/>
        <color theme="1"/>
      </rPr>
      <t>ISCET (2 Tests) - non-A-F</t>
    </r>
  </si>
  <si>
    <t>Robotics 1</t>
  </si>
  <si>
    <t>Calvert Aaron</t>
  </si>
  <si>
    <t>NIMS Hydraulics/ Pneumatics Or Solidworks or Autodesk / 
ITM Basic Pneumatic Systems (Electronics Tech)</t>
  </si>
  <si>
    <t xml:space="preserve">Digital Electronics - 1 CREDIT
Solid State Electronics - 1 CREDIT
</t>
  </si>
  <si>
    <t>Robotics 2</t>
  </si>
  <si>
    <t>ITM Basic Mechanical Systems (Electronics Tech)</t>
  </si>
  <si>
    <t>Manufacturing Engineering Technology 2</t>
  </si>
  <si>
    <r>
      <rPr>
        <rFont val="Arial"/>
        <color theme="1"/>
      </rPr>
      <t xml:space="preserve">2 Dallas College Courses - Dual Credit - 2 CREDIT / Pract of Manufactoring (Based on Agreement)
</t>
    </r>
    <r>
      <rPr>
        <rFont val="Arial"/>
        <b/>
        <color theme="1"/>
      </rPr>
      <t>(Level 1 Certificate)</t>
    </r>
  </si>
  <si>
    <t>NIMS Basic Mechanical Systems or  Solidworks Or Autodesk / 
ITM Basic Electrical Systems (Electronics Tech)</t>
  </si>
  <si>
    <t>FESTO Certified Industry 4.0 Associate Fundamentals</t>
  </si>
  <si>
    <t xml:space="preserve">NIMS Electronic Control Systems 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</si>
  <si>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</si>
  <si>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Zachary Moon</t>
  </si>
  <si>
    <t>NCCER Welding Level 1</t>
  </si>
  <si>
    <t>NORTH</t>
  </si>
  <si>
    <t>SOUTH</t>
  </si>
  <si>
    <t>EAST</t>
  </si>
  <si>
    <t>FINAL PoS on Brochure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</si>
  <si>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</si>
  <si>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Foundations of Cybersecurity - non AP - 1 CREDIT</t>
  </si>
  <si>
    <t>Fundamentals of Computer Science - 1 CREDIT</t>
  </si>
  <si>
    <t>Networking - 1 credit</t>
  </si>
  <si>
    <t>Mobile Apps</t>
  </si>
  <si>
    <t>Networking - 1 CREDIT</t>
  </si>
  <si>
    <t>Computer Maintenance - 1 credit</t>
  </si>
  <si>
    <t>Computer Maintenance - 1 CREDIT</t>
  </si>
  <si>
    <t>Cisco 200-201 CBROPS - Understanding Cisco Cybersecurity Operations Fundamentals</t>
  </si>
  <si>
    <t xml:space="preserve">Networking and Networking Lab </t>
  </si>
  <si>
    <t>Cybersecurity Capstone - 1 CREDIT</t>
  </si>
  <si>
    <t>Microsoft IT Specialist Python</t>
  </si>
  <si>
    <t>Digital Forensics</t>
  </si>
  <si>
    <t>Digital Forensics - 1 CREDIT</t>
  </si>
  <si>
    <t>Google Cloud Certified Professional - Cloud Architect</t>
  </si>
  <si>
    <t>Practicum in I.T. - 2 credits</t>
  </si>
  <si>
    <t>PRACT IT - 2 CREDIT</t>
  </si>
  <si>
    <t>ComTIA Network Plus</t>
  </si>
  <si>
    <t>x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</si>
  <si>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</si>
  <si>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 xml:space="preserve">CodeHS Python Level 1 Certification
</t>
  </si>
  <si>
    <t>Computer Science III</t>
  </si>
  <si>
    <t>Elective - Entrepreneurship or GES</t>
  </si>
  <si>
    <t>Healthcare Therapeutics: Patient Care Technician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</si>
  <si>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</si>
  <si>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Sha'Terri Knight</t>
  </si>
  <si>
    <t>DOI - Health Science</t>
  </si>
  <si>
    <t>Debra Lane</t>
  </si>
  <si>
    <t>Science, Grades 8-12</t>
  </si>
  <si>
    <t>Health Science Theory</t>
  </si>
  <si>
    <t>13020400
13020410</t>
  </si>
  <si>
    <t>Deborah Sanso
LaToyia McDonald</t>
  </si>
  <si>
    <t>Health Science, Grades 6-12
DOI - Health Science</t>
  </si>
  <si>
    <t>Anatomy/Phys</t>
  </si>
  <si>
    <t>Practicum in Health Science – Patient Care Tech 1</t>
  </si>
  <si>
    <t>Renicka Handy</t>
  </si>
  <si>
    <t>Practicum in Health Science – Patient Care Tech 2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</si>
  <si>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</si>
  <si>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Principles of Health Science - 1 CREDIT</t>
  </si>
  <si>
    <t>Medical Terminology - 1 CREDIT</t>
  </si>
  <si>
    <t>Health Science Theory - 1 CREDIT</t>
  </si>
  <si>
    <t>Anatomy/Phys - 1 CREDIT</t>
  </si>
  <si>
    <t>Practicum in Health Science I – Dental Asst. 1 - 2 CREDIT</t>
  </si>
  <si>
    <t>Practicum in Health Science II – Dental Asst. 2 - 2 CREDIT</t>
  </si>
  <si>
    <t>Healthcare Diagnostics: EKG &amp; Phlebotomy Technician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</si>
  <si>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</si>
  <si>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Health Science I – Medical Lab 1</t>
  </si>
  <si>
    <t xml:space="preserve">Phlebotomy Technician </t>
  </si>
  <si>
    <t>Practicum in Health Science II – Medical Lab 2</t>
  </si>
  <si>
    <t xml:space="preserve">Certified EKG Technician </t>
  </si>
  <si>
    <t>Healthcare Therapeutics: Emergency Medical Technician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</si>
  <si>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</si>
  <si>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Health Science I – EMT Lab 1 - 2 CREDIT</t>
  </si>
  <si>
    <t>Practicum in Health Science II – EMT Lab 2 - 2 CREDIT</t>
  </si>
  <si>
    <t xml:space="preserve">Emergency Medical Technician-Basic </t>
  </si>
  <si>
    <t>PHARMACY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</si>
  <si>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</si>
  <si>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Practicum in Health Science I – Pharmacy Tech 1</t>
  </si>
  <si>
    <t>Practicum in Health Science I – Pharmacy Tech 2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</si>
  <si>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</si>
  <si>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</si>
  <si>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C-200  Automation System Specialist Robotic System Integration 1</t>
  </si>
  <si>
    <t>Building Maintenance - Inclusion/Modified</t>
  </si>
  <si>
    <r>
      <rPr>
        <rFont val="Arial"/>
        <b/>
        <color rgb="FFFFFFFF"/>
      </rPr>
      <t xml:space="preserve">TEA Approved Industry-Based Certification
</t>
    </r>
    <r>
      <rPr>
        <rFont val="Arial"/>
        <b/>
        <color rgb="FFFFFFFF"/>
        <sz val="8.0"/>
      </rPr>
      <t>(To be completed by CTE Department)</t>
    </r>
  </si>
  <si>
    <t>Construction Technology 1</t>
  </si>
  <si>
    <t>Building Maintance 1</t>
  </si>
  <si>
    <t>NCCER Construction Technology Certification Level I</t>
  </si>
  <si>
    <t>Building Maintance 2</t>
  </si>
  <si>
    <t>Practicum in Construction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</si>
</sst>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5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rgb="FF000000"/>
      <name val="Arial"/>
      <scheme val="minor"/>
    </font>
    <font>
      <u/>
      <color rgb="FF0000FF"/>
      <name val="Arial"/>
    </font>
    <font>
      <b/>
      <sz val="10.0"/>
      <color rgb="FFFFFFFF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u/>
      <sz val="11.0"/>
      <color rgb="FF0000FF"/>
      <name val="Arial"/>
    </font>
    <font>
      <color rgb="FFFF0000"/>
      <name val="Arial"/>
      <scheme val="minor"/>
    </font>
    <font>
      <color rgb="FF000000"/>
      <name val="Verdana"/>
    </font>
    <font>
      <color rgb="FF000000"/>
      <name val="Roboto"/>
    </font>
    <font>
      <u/>
      <color rgb="FF0000FF"/>
      <name val="Arial"/>
    </font>
    <font>
      <u/>
      <color rgb="FF0000FF"/>
      <name val="Arial"/>
    </font>
    <font>
      <b/>
      <color rgb="FFFF0000"/>
      <name val="Arial"/>
      <scheme val="minor"/>
    </font>
    <font>
      <color rgb="FF000000"/>
      <name val="Arial"/>
    </font>
    <font>
      <u/>
      <sz val="11.0"/>
      <color rgb="FF0000FF"/>
      <name val="Arial"/>
    </font>
    <font>
      <sz val="10.0"/>
      <color rgb="FF000000"/>
      <name val="Arial"/>
    </font>
    <font>
      <sz val="11.0"/>
      <color theme="1"/>
      <name val="Arial"/>
      <scheme val="minor"/>
    </font>
    <font>
      <strike/>
      <color theme="1"/>
      <name val="Arial"/>
      <scheme val="minor"/>
    </font>
    <font>
      <u/>
      <color rgb="FF0000FF"/>
      <name val="Arial"/>
    </font>
    <font>
      <color rgb="FFFF0000"/>
      <name val="Roboto"/>
    </font>
    <font>
      <strike/>
      <color rgb="FFFF0000"/>
      <name val="Arial"/>
      <scheme val="minor"/>
    </font>
    <font>
      <b/>
      <strike/>
      <color rgb="FFFF0000"/>
      <name val="Arial"/>
      <scheme val="minor"/>
    </font>
    <font>
      <u/>
      <color rgb="FF0000FF"/>
      <name val="Arial"/>
    </font>
    <font>
      <u/>
      <color rgb="FF0000FF"/>
    </font>
    <font>
      <color rgb="FF0000FF"/>
      <name val="Arial"/>
      <scheme val="minor"/>
    </font>
    <font>
      <color rgb="FFFF0000"/>
      <name val="Arial"/>
    </font>
    <font>
      <b/>
      <i/>
      <color rgb="FFFF0000"/>
      <name val="Arial"/>
      <scheme val="minor"/>
    </font>
    <font>
      <sz val="9.0"/>
      <color rgb="FF000000"/>
      <name val="Arial"/>
    </font>
    <font>
      <sz val="11.0"/>
      <color rgb="FF000000"/>
      <name val="Calibri"/>
    </font>
    <font>
      <b/>
      <color rgb="FFFFFFFF"/>
      <name val="Arial"/>
    </font>
    <font>
      <strike/>
      <color theme="1"/>
      <name val="Arial"/>
    </font>
    <font>
      <strike/>
      <color rgb="FFFF0000"/>
      <name val="Arial"/>
    </font>
    <font>
      <strike/>
      <color rgb="FF000000"/>
      <name val="Roboto"/>
    </font>
    <font>
      <b/>
      <color theme="1"/>
      <name val="Arial"/>
    </font>
    <font>
      <color rgb="FF6AA84F"/>
      <name val="Arial"/>
      <scheme val="minor"/>
    </font>
    <font>
      <sz val="11.0"/>
      <color theme="1"/>
      <name val="Calibri"/>
    </font>
    <font>
      <color rgb="FFFFFFFF"/>
      <name val="Arial"/>
      <scheme val="minor"/>
    </font>
    <font>
      <color rgb="FF0000FF"/>
      <name val="Arial"/>
    </font>
    <font>
      <sz val="11.0"/>
      <color rgb="FF0000FF"/>
      <name val="Calibri"/>
    </font>
    <font>
      <b/>
      <color rgb="FFFF0000"/>
      <name val="Arial"/>
    </font>
    <font>
      <i/>
      <color theme="1"/>
      <name val="Arial"/>
    </font>
    <font>
      <b/>
      <sz val="11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rgb="FFFFFFFF"/>
      <name val="Arial"/>
    </font>
    <font>
      <sz val="10.0"/>
      <color rgb="FF404040"/>
      <name val="Arial"/>
      <scheme val="minor"/>
    </font>
    <font>
      <sz val="9.0"/>
      <color rgb="FF404040"/>
      <name val="Arial"/>
    </font>
    <font>
      <strike/>
      <color rgb="FF000000"/>
      <name val="Arial"/>
      <scheme val="minor"/>
    </font>
    <font>
      <b/>
      <color rgb="FF434343"/>
      <name val="Arial"/>
      <scheme val="minor"/>
    </font>
    <font>
      <strike/>
      <color rgb="FF0000FF"/>
      <name val="Arial"/>
      <scheme val="minor"/>
    </font>
    <font>
      <b/>
      <sz val="11.0"/>
      <color rgb="FFFF0000"/>
      <name val="Arial"/>
    </font>
    <font>
      <sz val="11.0"/>
      <color theme="1"/>
      <name val="Arial Narrow"/>
    </font>
    <font>
      <color rgb="FF000000"/>
      <name val="&quot;Open Sans&quot;"/>
    </font>
    <font>
      <sz val="8.0"/>
      <color theme="1"/>
      <name val="Arial"/>
      <scheme val="minor"/>
    </font>
    <font>
      <sz val="8.0"/>
      <color rgb="FF000000"/>
      <name val="Arial"/>
    </font>
    <font>
      <sz val="11.0"/>
      <color rgb="FFFFFFFF"/>
      <name val="Arial"/>
      <scheme val="minor"/>
    </font>
    <font>
      <u/>
      <color rgb="FF0000FF"/>
    </font>
    <font>
      <strike/>
      <sz val="11.0"/>
      <color theme="1"/>
      <name val="Calibri"/>
    </font>
    <font>
      <i/>
      <color rgb="FFFF0000"/>
      <name val="Arial"/>
    </font>
    <font>
      <color theme="1"/>
      <name val="Verdana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i/>
      <sz val="10.0"/>
      <color theme="1"/>
      <name val="Arial"/>
      <scheme val="minor"/>
    </font>
    <font>
      <i/>
      <strike/>
      <sz val="10.0"/>
      <color theme="1"/>
      <name val="Arial"/>
      <scheme val="minor"/>
    </font>
    <font>
      <strike/>
      <sz val="11.0"/>
      <color theme="1"/>
      <name val="Arial"/>
      <scheme val="minor"/>
    </font>
    <font>
      <color rgb="FF000000"/>
      <name val="&quot;Helvetica Neue&quot;"/>
    </font>
    <font>
      <i/>
      <strike/>
      <color rgb="FFFF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color rgb="FF444444"/>
      <name val="Arial"/>
    </font>
    <font>
      <strike/>
      <color rgb="FF000000"/>
      <name val="Verdana"/>
    </font>
    <font>
      <b/>
      <u/>
      <color rgb="FF0000FF"/>
      <name val="Arial"/>
    </font>
    <font>
      <b/>
      <u/>
      <color rgb="FF0000FF"/>
    </font>
    <font>
      <b/>
      <u/>
      <color rgb="FF0000FF"/>
    </font>
    <font>
      <b/>
      <sz val="11.0"/>
      <color theme="1"/>
      <name val="Arial"/>
    </font>
    <font/>
    <font>
      <b/>
      <sz val="11.0"/>
      <color rgb="FF000000"/>
      <name val="Arial"/>
    </font>
    <font>
      <strike/>
      <color rgb="FF000000"/>
      <name val="Arial"/>
    </font>
    <font>
      <b/>
      <color rgb="FFD9EAD3"/>
      <name val="Arial"/>
    </font>
    <font>
      <strike/>
      <sz val="11.0"/>
      <color rgb="FF000000"/>
      <name val="Calibri"/>
    </font>
    <font>
      <u/>
      <color rgb="FF0000FF"/>
      <name val="Arial"/>
    </font>
    <font>
      <b/>
      <color rgb="FF00FF00"/>
      <name val="Arial"/>
      <scheme val="minor"/>
    </font>
    <font>
      <sz val="11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5B95F9"/>
        <bgColor rgb="FF5B95F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8F0FE"/>
        <bgColor rgb="FFE8F0FE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ck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vertical="center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 vertical="center"/>
    </xf>
    <xf borderId="0" fillId="0" fontId="4" numFmtId="0" xfId="0" applyAlignment="1" applyFont="1">
      <alignment shrinkToFit="0" wrapText="1"/>
    </xf>
    <xf borderId="0" fillId="5" fontId="5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readingOrder="0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 shrinkToFit="0" vertical="center" wrapText="1"/>
    </xf>
    <xf borderId="0" fillId="10" fontId="8" numFmtId="0" xfId="0" applyAlignment="1" applyFill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6" fontId="10" numFmtId="0" xfId="0" applyAlignment="1" applyFont="1">
      <alignment horizontal="center" readingOrder="0" shrinkToFit="0" vertical="center" wrapText="1"/>
    </xf>
    <xf borderId="0" fillId="11" fontId="8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readingOrder="0"/>
    </xf>
    <xf borderId="0" fillId="4" fontId="3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shrinkToFit="0" wrapText="1"/>
    </xf>
    <xf borderId="0" fillId="12" fontId="12" numFmtId="0" xfId="0" applyAlignment="1" applyFill="1" applyFont="1">
      <alignment horizontal="center"/>
    </xf>
    <xf borderId="0" fillId="2" fontId="4" numFmtId="0" xfId="0" applyFont="1"/>
    <xf borderId="0" fillId="13" fontId="4" numFmtId="0" xfId="0" applyAlignment="1" applyFill="1" applyFont="1">
      <alignment vertical="center"/>
    </xf>
    <xf borderId="0" fillId="2" fontId="13" numFmtId="0" xfId="0" applyAlignment="1" applyFont="1">
      <alignment horizontal="center" readingOrder="0" shrinkToFit="0" wrapText="1"/>
    </xf>
    <xf borderId="0" fillId="13" fontId="4" numFmtId="0" xfId="0" applyAlignment="1" applyFont="1">
      <alignment shrinkToFit="0" vertical="center" wrapText="1"/>
    </xf>
    <xf borderId="0" fillId="14" fontId="5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15" fontId="5" numFmtId="0" xfId="0" applyAlignment="1" applyFill="1" applyFont="1">
      <alignment horizontal="center" readingOrder="0" vertical="center"/>
    </xf>
    <xf borderId="0" fillId="15" fontId="5" numFmtId="0" xfId="0" applyAlignment="1" applyFont="1">
      <alignment horizontal="center" readingOrder="0" shrinkToFit="0" vertical="center" wrapText="1"/>
    </xf>
    <xf borderId="0" fillId="14" fontId="14" numFmtId="0" xfId="0" applyAlignment="1" applyFont="1">
      <alignment horizontal="center" readingOrder="0" vertical="center"/>
    </xf>
    <xf borderId="0" fillId="8" fontId="15" numFmtId="0" xfId="0" applyAlignment="1" applyFont="1">
      <alignment horizontal="center" readingOrder="0" vertical="center"/>
    </xf>
    <xf borderId="0" fillId="4" fontId="0" numFmtId="0" xfId="0" applyAlignment="1" applyFont="1">
      <alignment horizontal="center" readingOrder="0"/>
    </xf>
    <xf borderId="0" fillId="8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12" fontId="16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4" fontId="4" numFmtId="0" xfId="0" applyAlignment="1" applyFont="1">
      <alignment horizontal="center" readingOrder="0" shrinkToFit="0" vertical="center" wrapText="1"/>
    </xf>
    <xf borderId="0" fillId="4" fontId="1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18" numFmtId="0" xfId="0" applyAlignment="1" applyFont="1">
      <alignment horizontal="center" readingOrder="0" shrinkToFit="0" wrapText="1"/>
    </xf>
    <xf borderId="0" fillId="16" fontId="4" numFmtId="0" xfId="0" applyAlignment="1" applyFill="1" applyFont="1">
      <alignment horizontal="center" vertical="center"/>
    </xf>
    <xf borderId="0" fillId="16" fontId="12" numFmtId="0" xfId="0" applyAlignment="1" applyFont="1">
      <alignment readingOrder="0"/>
    </xf>
    <xf borderId="0" fillId="4" fontId="4" numFmtId="0" xfId="0" applyAlignment="1" applyFont="1">
      <alignment readingOrder="0"/>
    </xf>
    <xf borderId="0" fillId="17" fontId="12" numFmtId="0" xfId="0" applyAlignment="1" applyFill="1" applyFont="1">
      <alignment horizontal="center"/>
    </xf>
    <xf borderId="0" fillId="16" fontId="4" numFmtId="0" xfId="0" applyAlignment="1" applyFont="1">
      <alignment horizontal="center" readingOrder="0" vertical="center"/>
    </xf>
    <xf borderId="0" fillId="4" fontId="19" numFmtId="0" xfId="0" applyAlignment="1" applyFont="1">
      <alignment horizontal="center" readingOrder="0"/>
    </xf>
    <xf borderId="0" fillId="16" fontId="12" numFmtId="0" xfId="0" applyAlignment="1" applyFont="1">
      <alignment readingOrder="0"/>
    </xf>
    <xf borderId="0" fillId="17" fontId="20" numFmtId="0" xfId="0" applyAlignment="1" applyFont="1">
      <alignment readingOrder="0" shrinkToFit="0" wrapText="1"/>
    </xf>
    <xf borderId="0" fillId="16" fontId="4" numFmtId="0" xfId="0" applyAlignment="1" applyFont="1">
      <alignment horizontal="center" shrinkToFit="0" vertical="center" wrapText="1"/>
    </xf>
    <xf borderId="0" fillId="12" fontId="21" numFmtId="0" xfId="0" applyAlignment="1" applyFont="1">
      <alignment readingOrder="0" shrinkToFit="0" wrapText="1"/>
    </xf>
    <xf borderId="0" fillId="16" fontId="4" numFmtId="0" xfId="0" applyAlignment="1" applyFont="1">
      <alignment vertical="center"/>
    </xf>
    <xf borderId="0" fillId="16" fontId="3" numFmtId="0" xfId="0" applyAlignment="1" applyFont="1">
      <alignment horizontal="right" readingOrder="0" vertical="center"/>
    </xf>
    <xf borderId="0" fillId="8" fontId="0" numFmtId="0" xfId="0" applyAlignment="1" applyFont="1">
      <alignment horizontal="center" readingOrder="0"/>
    </xf>
    <xf borderId="0" fillId="16" fontId="3" numFmtId="0" xfId="0" applyAlignment="1" applyFont="1">
      <alignment shrinkToFit="0" vertical="center" wrapText="1"/>
    </xf>
    <xf borderId="0" fillId="16" fontId="22" numFmtId="0" xfId="0" applyAlignment="1" applyFont="1">
      <alignment shrinkToFit="0" vertical="center" wrapText="1"/>
    </xf>
    <xf borderId="0" fillId="16" fontId="3" numFmtId="0" xfId="0" applyAlignment="1" applyFont="1">
      <alignment vertical="center"/>
    </xf>
    <xf borderId="0" fillId="0" fontId="23" numFmtId="0" xfId="0" applyAlignment="1" applyFont="1">
      <alignment readingOrder="0" shrinkToFit="0" wrapText="1"/>
    </xf>
    <xf borderId="0" fillId="4" fontId="1" numFmtId="0" xfId="0" applyAlignment="1" applyFont="1">
      <alignment horizontal="center" readingOrder="0" shrinkToFit="0" vertical="center" wrapText="1"/>
    </xf>
    <xf borderId="0" fillId="9" fontId="0" numFmtId="0" xfId="0" applyAlignment="1" applyFont="1">
      <alignment horizontal="center" readingOrder="0" shrinkToFit="0" wrapText="1"/>
    </xf>
    <xf borderId="0" fillId="4" fontId="0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/>
    </xf>
    <xf borderId="0" fillId="0" fontId="19" numFmtId="0" xfId="0" applyAlignment="1" applyFont="1">
      <alignment horizontal="left" readingOrder="0" shrinkToFit="0" wrapText="1"/>
    </xf>
    <xf borderId="0" fillId="9" fontId="4" numFmtId="0" xfId="0" applyAlignment="1" applyFont="1">
      <alignment horizontal="center" readingOrder="0" shrinkToFit="0" vertical="center" wrapText="1"/>
    </xf>
    <xf borderId="0" fillId="9" fontId="0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0" fillId="4" fontId="23" numFmtId="0" xfId="0" applyAlignment="1" applyFont="1">
      <alignment horizontal="center" readingOrder="0"/>
    </xf>
    <xf borderId="0" fillId="16" fontId="4" numFmtId="0" xfId="0" applyAlignment="1" applyFont="1">
      <alignment horizontal="center" readingOrder="0" shrinkToFit="0" vertical="center" wrapText="1"/>
    </xf>
    <xf borderId="0" fillId="17" fontId="24" numFmtId="0" xfId="0" applyAlignment="1" applyFont="1">
      <alignment readingOrder="0" shrinkToFit="0" wrapText="1"/>
    </xf>
    <xf borderId="0" fillId="9" fontId="4" numFmtId="0" xfId="0" applyAlignment="1" applyFont="1">
      <alignment horizontal="center" readingOrder="0" vertical="center"/>
    </xf>
    <xf borderId="0" fillId="16" fontId="22" numFmtId="0" xfId="0" applyAlignment="1" applyFont="1">
      <alignment readingOrder="0" shrinkToFit="0" vertical="center" wrapText="1"/>
    </xf>
    <xf borderId="0" fillId="12" fontId="12" numFmtId="0" xfId="0" applyAlignment="1" applyFont="1">
      <alignment horizontal="center" readingOrder="0"/>
    </xf>
    <xf borderId="0" fillId="9" fontId="3" numFmtId="0" xfId="0" applyAlignment="1" applyFont="1">
      <alignment shrinkToFit="0" vertical="center" wrapText="1"/>
    </xf>
    <xf borderId="0" fillId="8" fontId="25" numFmtId="0" xfId="0" applyAlignment="1" applyFont="1">
      <alignment horizontal="center" readingOrder="0"/>
    </xf>
    <xf borderId="0" fillId="4" fontId="26" numFmtId="0" xfId="0" applyAlignment="1" applyFont="1">
      <alignment horizontal="center" readingOrder="0" shrinkToFit="0" vertical="center" wrapText="1"/>
    </xf>
    <xf borderId="0" fillId="16" fontId="23" numFmtId="0" xfId="0" applyAlignment="1" applyFont="1">
      <alignment horizontal="center" readingOrder="0"/>
    </xf>
    <xf borderId="0" fillId="4" fontId="4" numFmtId="0" xfId="0" applyAlignment="1" applyFont="1">
      <alignment horizontal="center" shrinkToFit="0" vertical="center" wrapText="1"/>
    </xf>
    <xf borderId="0" fillId="13" fontId="5" numFmtId="0" xfId="0" applyAlignment="1" applyFont="1">
      <alignment horizontal="center" readingOrder="0" vertical="center"/>
    </xf>
    <xf borderId="0" fillId="0" fontId="4" numFmtId="0" xfId="0" applyFont="1"/>
    <xf borderId="0" fillId="4" fontId="27" numFmtId="0" xfId="0" applyAlignment="1" applyFont="1">
      <alignment horizontal="center" readingOrder="0" vertical="center"/>
    </xf>
    <xf borderId="0" fillId="4" fontId="17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shrinkToFit="0" vertical="center" wrapText="1"/>
    </xf>
    <xf borderId="0" fillId="16" fontId="26" numFmtId="0" xfId="0" applyAlignment="1" applyFont="1">
      <alignment horizontal="center" readingOrder="0" vertical="center"/>
    </xf>
    <xf borderId="0" fillId="9" fontId="0" numFmtId="0" xfId="0" applyAlignment="1" applyFont="1">
      <alignment horizontal="center" readingOrder="0" shrinkToFit="0" vertical="center" wrapText="1"/>
    </xf>
    <xf borderId="0" fillId="4" fontId="0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8" fontId="17" numFmtId="0" xfId="0" applyAlignment="1" applyFont="1">
      <alignment horizontal="center" readingOrder="0" shrinkToFit="0" vertical="center" wrapText="1"/>
    </xf>
    <xf borderId="0" fillId="12" fontId="28" numFmtId="0" xfId="0" applyAlignment="1" applyFont="1">
      <alignment horizontal="left" readingOrder="0" shrinkToFit="0" wrapText="1"/>
    </xf>
    <xf borderId="0" fillId="8" fontId="4" numFmtId="0" xfId="0" applyAlignment="1" applyFont="1">
      <alignment horizontal="center" vertical="center"/>
    </xf>
    <xf borderId="0" fillId="17" fontId="12" numFmtId="0" xfId="0" applyAlignment="1" applyFont="1">
      <alignment horizontal="center" readingOrder="0"/>
    </xf>
    <xf borderId="0" fillId="4" fontId="15" numFmtId="0" xfId="0" applyAlignment="1" applyFont="1">
      <alignment horizontal="center" readingOrder="0" vertical="center"/>
    </xf>
    <xf borderId="0" fillId="8" fontId="27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shrinkToFit="0" wrapText="1"/>
    </xf>
    <xf borderId="0" fillId="8" fontId="27" numFmtId="0" xfId="0" applyAlignment="1" applyFont="1">
      <alignment horizontal="center" vertical="center"/>
    </xf>
    <xf borderId="0" fillId="8" fontId="27" numFmtId="0" xfId="0" applyAlignment="1" applyFont="1">
      <alignment horizontal="center" readingOrder="0" shrinkToFit="0" vertical="center" wrapText="1"/>
    </xf>
    <xf borderId="0" fillId="4" fontId="23" numFmtId="0" xfId="0" applyAlignment="1" applyFont="1">
      <alignment horizontal="center" readingOrder="0" shrinkToFit="0" wrapText="1"/>
    </xf>
    <xf borderId="0" fillId="8" fontId="30" numFmtId="0" xfId="0" applyAlignment="1" applyFont="1">
      <alignment horizontal="center" readingOrder="0" shrinkToFit="0" vertical="center" wrapText="1"/>
    </xf>
    <xf borderId="0" fillId="8" fontId="31" numFmtId="0" xfId="0" applyAlignment="1" applyFont="1">
      <alignment horizontal="center" readingOrder="0" shrinkToFit="0" vertical="center" wrapText="1"/>
    </xf>
    <xf borderId="0" fillId="11" fontId="0" numFmtId="0" xfId="0" applyAlignment="1" applyFont="1">
      <alignment horizontal="center" readingOrder="0"/>
    </xf>
    <xf borderId="0" fillId="8" fontId="22" numFmtId="0" xfId="0" applyAlignment="1" applyFont="1">
      <alignment horizontal="center" readingOrder="0" shrinkToFit="0" vertical="center" wrapText="1"/>
    </xf>
    <xf borderId="0" fillId="11" fontId="4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2" fontId="2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horizontal="center" readingOrder="0"/>
    </xf>
    <xf borderId="0" fillId="2" fontId="32" numFmtId="0" xfId="0" applyAlignment="1" applyFont="1">
      <alignment horizontal="left" readingOrder="0" shrinkToFit="0" vertical="center" wrapText="1"/>
    </xf>
    <xf borderId="0" fillId="2" fontId="33" numFmtId="0" xfId="0" applyAlignment="1" applyFont="1">
      <alignment horizontal="left" readingOrder="0" shrinkToFit="0" wrapText="1"/>
    </xf>
    <xf borderId="0" fillId="4" fontId="4" numFmtId="0" xfId="0" applyAlignment="1" applyFont="1">
      <alignment horizontal="center" readingOrder="0"/>
    </xf>
    <xf borderId="0" fillId="2" fontId="4" numFmtId="0" xfId="0" applyAlignment="1" applyFont="1">
      <alignment horizontal="left" shrinkToFit="0" wrapText="1"/>
    </xf>
    <xf borderId="0" fillId="13" fontId="4" numFmtId="0" xfId="0" applyAlignment="1" applyFont="1">
      <alignment horizontal="left" shrinkToFit="0" vertical="center" wrapText="1"/>
    </xf>
    <xf borderId="0" fillId="14" fontId="5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9" fontId="4" numFmtId="0" xfId="0" applyAlignment="1" applyFont="1">
      <alignment horizontal="center" readingOrder="0"/>
    </xf>
    <xf borderId="0" fillId="8" fontId="3" numFmtId="0" xfId="0" applyAlignment="1" applyFont="1">
      <alignment horizontal="center" readingOrder="0" vertical="center"/>
    </xf>
    <xf borderId="0" fillId="15" fontId="5" numFmtId="0" xfId="0" applyAlignment="1" applyFont="1">
      <alignment horizontal="left" readingOrder="0" shrinkToFit="0" vertical="center" wrapText="1"/>
    </xf>
    <xf borderId="0" fillId="8" fontId="26" numFmtId="0" xfId="0" applyAlignment="1" applyFont="1">
      <alignment horizontal="center" readingOrder="0" vertical="center"/>
    </xf>
    <xf borderId="0" fillId="8" fontId="34" numFmtId="0" xfId="0" applyAlignment="1" applyFont="1">
      <alignment horizontal="center" readingOrder="0" shrinkToFit="0" vertical="center" wrapText="1"/>
    </xf>
    <xf borderId="0" fillId="11" fontId="26" numFmtId="0" xfId="0" applyAlignment="1" applyFont="1">
      <alignment horizontal="center" readingOrder="0" shrinkToFit="0" vertical="center" wrapText="1"/>
    </xf>
    <xf borderId="0" fillId="8" fontId="23" numFmtId="0" xfId="0" applyAlignment="1" applyFont="1">
      <alignment horizontal="center" readingOrder="0" shrinkToFit="0" wrapText="1"/>
    </xf>
    <xf borderId="0" fillId="8" fontId="4" numFmtId="0" xfId="0" applyAlignment="1" applyFont="1">
      <alignment horizontal="center" shrinkToFit="0" wrapText="1"/>
    </xf>
    <xf borderId="0" fillId="10" fontId="12" numFmtId="0" xfId="0" applyAlignment="1" applyFont="1">
      <alignment horizontal="center" readingOrder="0"/>
    </xf>
    <xf borderId="0" fillId="10" fontId="12" numFmtId="0" xfId="0" applyAlignment="1" applyFont="1">
      <alignment horizontal="center"/>
    </xf>
    <xf borderId="0" fillId="10" fontId="12" numFmtId="0" xfId="0" applyAlignment="1" applyFont="1">
      <alignment horizontal="center"/>
    </xf>
    <xf borderId="0" fillId="10" fontId="12" numFmtId="0" xfId="0" applyAlignment="1" applyFont="1">
      <alignment horizontal="center" shrinkToFit="0" wrapText="1"/>
    </xf>
    <xf borderId="0" fillId="10" fontId="35" numFmtId="0" xfId="0" applyAlignment="1" applyFont="1">
      <alignment horizontal="center" readingOrder="0" shrinkToFit="0" wrapText="1"/>
    </xf>
    <xf borderId="0" fillId="10" fontId="12" numFmtId="0" xfId="0" applyAlignment="1" applyFont="1">
      <alignment horizontal="center" readingOrder="0" shrinkToFit="0" wrapText="1"/>
    </xf>
    <xf borderId="0" fillId="4" fontId="12" numFmtId="0" xfId="0" applyFont="1"/>
    <xf borderId="0" fillId="16" fontId="12" numFmtId="0" xfId="0" applyFont="1"/>
    <xf borderId="0" fillId="8" fontId="12" numFmtId="0" xfId="0" applyAlignment="1" applyFont="1">
      <alignment horizontal="center" readingOrder="0"/>
    </xf>
    <xf borderId="0" fillId="8" fontId="1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center" readingOrder="0" shrinkToFit="0" vertical="center" wrapText="0"/>
    </xf>
    <xf borderId="0" fillId="8" fontId="25" numFmtId="0" xfId="0" applyAlignment="1" applyFont="1">
      <alignment horizontal="center" readingOrder="0" shrinkToFit="0" vertical="bottom" wrapText="0"/>
    </xf>
    <xf borderId="0" fillId="8" fontId="23" numFmtId="0" xfId="0" applyAlignment="1" applyFont="1">
      <alignment horizontal="center" readingOrder="0"/>
    </xf>
    <xf borderId="0" fillId="16" fontId="3" numFmtId="0" xfId="0" applyAlignment="1" applyFont="1">
      <alignment horizontal="left" shrinkToFit="0" vertical="center" wrapText="1"/>
    </xf>
    <xf borderId="0" fillId="4" fontId="36" numFmtId="0" xfId="0" applyAlignment="1" applyFont="1">
      <alignment horizontal="center" readingOrder="0" vertical="center"/>
    </xf>
    <xf borderId="0" fillId="4" fontId="27" numFmtId="0" xfId="0" applyAlignment="1" applyFont="1">
      <alignment horizontal="center" vertical="center"/>
    </xf>
    <xf borderId="0" fillId="8" fontId="18" numFmtId="0" xfId="0" applyAlignment="1" applyFont="1">
      <alignment horizontal="center" readingOrder="0" shrinkToFit="0" wrapText="1"/>
    </xf>
    <xf borderId="0" fillId="4" fontId="27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 shrinkToFit="0" vertical="center" wrapText="1"/>
    </xf>
    <xf borderId="0" fillId="16" fontId="27" numFmtId="0" xfId="0" applyAlignment="1" applyFont="1">
      <alignment horizontal="left" shrinkToFit="0" vertical="center" wrapText="1"/>
    </xf>
    <xf borderId="0" fillId="8" fontId="37" numFmtId="0" xfId="0" applyAlignment="1" applyFont="1">
      <alignment horizontal="center" readingOrder="0"/>
    </xf>
    <xf borderId="0" fillId="16" fontId="27" numFmtId="0" xfId="0" applyAlignment="1" applyFont="1">
      <alignment horizontal="left" readingOrder="0" shrinkToFit="0" vertical="center" wrapText="1"/>
    </xf>
    <xf borderId="0" fillId="8" fontId="4" numFmtId="0" xfId="0" applyAlignment="1" applyFont="1">
      <alignment horizontal="left" readingOrder="0" shrinkToFit="0" vertical="center" wrapText="1"/>
    </xf>
    <xf borderId="0" fillId="8" fontId="36" numFmtId="0" xfId="0" applyAlignment="1" applyFont="1">
      <alignment horizontal="center" readingOrder="0" vertical="center"/>
    </xf>
    <xf borderId="0" fillId="8" fontId="38" numFmtId="0" xfId="0" applyAlignment="1" applyFont="1">
      <alignment horizontal="center" readingOrder="0" shrinkToFit="0" vertical="bottom" wrapText="0"/>
    </xf>
    <xf borderId="0" fillId="16" fontId="4" numFmtId="0" xfId="0" applyAlignment="1" applyFont="1">
      <alignment horizontal="left" readingOrder="0" shrinkToFit="0" vertical="center" wrapText="1"/>
    </xf>
    <xf borderId="0" fillId="8" fontId="17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 shrinkToFit="0" wrapText="1"/>
    </xf>
    <xf borderId="0" fillId="16" fontId="19" numFmtId="0" xfId="0" applyAlignment="1" applyFont="1">
      <alignment horizontal="left" readingOrder="0" shrinkToFit="0" wrapText="1"/>
    </xf>
    <xf borderId="0" fillId="8" fontId="30" numFmtId="0" xfId="0" applyAlignment="1" applyFont="1">
      <alignment horizontal="center" readingOrder="0" vertical="center"/>
    </xf>
    <xf borderId="0" fillId="8" fontId="27" numFmtId="0" xfId="0" applyAlignment="1" applyFont="1">
      <alignment horizontal="center" readingOrder="0" shrinkToFit="0" wrapText="1"/>
    </xf>
    <xf borderId="0" fillId="16" fontId="4" numFmtId="0" xfId="0" applyAlignment="1" applyFont="1">
      <alignment horizontal="left" shrinkToFit="0" vertical="center" wrapText="1"/>
    </xf>
    <xf borderId="0" fillId="14" fontId="39" numFmtId="0" xfId="0" applyAlignment="1" applyFont="1">
      <alignment horizontal="center" readingOrder="0"/>
    </xf>
    <xf borderId="0" fillId="14" fontId="39" numFmtId="0" xfId="0" applyAlignment="1" applyFont="1">
      <alignment horizontal="center"/>
    </xf>
    <xf borderId="0" fillId="6" fontId="12" numFmtId="0" xfId="0" applyAlignment="1" applyFont="1">
      <alignment horizontal="center" readingOrder="0"/>
    </xf>
    <xf borderId="0" fillId="6" fontId="12" numFmtId="0" xfId="0" applyAlignment="1" applyFont="1">
      <alignment horizontal="center"/>
    </xf>
    <xf borderId="0" fillId="15" fontId="39" numFmtId="0" xfId="0" applyAlignment="1" applyFont="1">
      <alignment horizontal="center"/>
    </xf>
    <xf borderId="0" fillId="15" fontId="39" numFmtId="0" xfId="0" applyAlignment="1" applyFont="1">
      <alignment horizontal="center" shrinkToFit="0" wrapText="1"/>
    </xf>
    <xf borderId="0" fillId="4" fontId="40" numFmtId="0" xfId="0" applyAlignment="1" applyFont="1">
      <alignment horizontal="center" readingOrder="0"/>
    </xf>
    <xf borderId="0" fillId="4" fontId="40" numFmtId="0" xfId="0" applyAlignment="1" applyFont="1">
      <alignment horizontal="center" readingOrder="0" shrinkToFit="0" wrapText="1"/>
    </xf>
    <xf borderId="0" fillId="13" fontId="4" numFmtId="0" xfId="0" applyAlignment="1" applyFont="1">
      <alignment readingOrder="0" vertical="center"/>
    </xf>
    <xf borderId="0" fillId="4" fontId="40" numFmtId="0" xfId="0" applyAlignment="1" applyFont="1">
      <alignment horizontal="center"/>
    </xf>
    <xf borderId="0" fillId="4" fontId="41" numFmtId="0" xfId="0" applyAlignment="1" applyFont="1">
      <alignment horizontal="center" readingOrder="0" shrinkToFit="0" wrapText="1"/>
    </xf>
    <xf borderId="0" fillId="4" fontId="42" numFmtId="0" xfId="0" applyAlignment="1" applyFont="1">
      <alignment horizontal="center" readingOrder="0" shrinkToFit="0" wrapText="1"/>
    </xf>
    <xf borderId="0" fillId="16" fontId="40" numFmtId="0" xfId="0" applyAlignment="1" applyFont="1">
      <alignment horizontal="center" readingOrder="0" shrinkToFit="0" wrapText="1"/>
    </xf>
    <xf borderId="0" fillId="16" fontId="43" numFmtId="0" xfId="0" applyAlignment="1" applyFont="1">
      <alignment horizontal="right" shrinkToFit="0" wrapText="1"/>
    </xf>
    <xf borderId="0" fillId="13" fontId="12" numFmtId="0" xfId="0" applyFont="1"/>
    <xf borderId="0" fillId="4" fontId="44" numFmtId="0" xfId="0" applyFont="1"/>
    <xf borderId="0" fillId="2" fontId="12" numFmtId="0" xfId="0" applyAlignment="1" applyFont="1">
      <alignment horizontal="center" readingOrder="0" shrinkToFit="0" vertical="center" wrapText="1"/>
    </xf>
    <xf borderId="0" fillId="16" fontId="17" numFmtId="0" xfId="0" applyFont="1"/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wrapText="1"/>
    </xf>
    <xf borderId="0" fillId="8" fontId="4" numFmtId="0" xfId="0" applyAlignment="1" applyFont="1">
      <alignment horizontal="left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10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shrinkToFit="0" vertical="center" wrapText="1"/>
    </xf>
    <xf borderId="0" fillId="8" fontId="45" numFmtId="0" xfId="0" applyAlignment="1" applyFont="1">
      <alignment horizontal="center" shrinkToFit="0" wrapText="1"/>
    </xf>
    <xf borderId="0" fillId="10" fontId="34" numFmtId="0" xfId="0" applyAlignment="1" applyFont="1">
      <alignment horizontal="center" readingOrder="0" vertical="center"/>
    </xf>
    <xf borderId="0" fillId="4" fontId="34" numFmtId="0" xfId="0" applyAlignment="1" applyFont="1">
      <alignment horizontal="center" readingOrder="0" vertical="center"/>
    </xf>
    <xf borderId="0" fillId="4" fontId="34" numFmtId="0" xfId="0" applyAlignment="1" applyFont="1">
      <alignment horizontal="center" readingOrder="0" shrinkToFit="0" vertical="center" wrapText="1"/>
    </xf>
    <xf borderId="0" fillId="6" fontId="46" numFmtId="0" xfId="0" applyAlignment="1" applyFont="1">
      <alignment horizontal="center" readingOrder="0" shrinkToFit="0" vertical="center" wrapText="1"/>
    </xf>
    <xf borderId="0" fillId="6" fontId="46" numFmtId="0" xfId="0" applyAlignment="1" applyFont="1">
      <alignment horizontal="center" shrinkToFit="0" vertical="center" wrapText="1"/>
    </xf>
    <xf borderId="0" fillId="8" fontId="4" numFmtId="0" xfId="0" applyAlignment="1" applyFont="1">
      <alignment horizontal="center" readingOrder="0" vertical="center"/>
    </xf>
    <xf borderId="0" fillId="16" fontId="25" numFmtId="0" xfId="0" applyAlignment="1" applyFont="1">
      <alignment readingOrder="0"/>
    </xf>
    <xf borderId="0" fillId="8" fontId="45" numFmtId="0" xfId="0" applyAlignment="1" applyFont="1">
      <alignment horizontal="center" readingOrder="0" shrinkToFit="0" wrapText="1"/>
    </xf>
    <xf borderId="0" fillId="8" fontId="34" numFmtId="0" xfId="0" applyAlignment="1" applyFont="1">
      <alignment horizontal="center" readingOrder="0" vertical="center"/>
    </xf>
    <xf borderId="0" fillId="4" fontId="19" numFmtId="0" xfId="0" applyAlignment="1" applyFont="1">
      <alignment horizontal="center" readingOrder="0" shrinkToFit="0" wrapText="1"/>
    </xf>
    <xf borderId="0" fillId="8" fontId="12" numFmtId="0" xfId="0" applyAlignment="1" applyFont="1">
      <alignment horizontal="center"/>
    </xf>
    <xf borderId="0" fillId="4" fontId="45" numFmtId="0" xfId="0" applyAlignment="1" applyFont="1">
      <alignment horizontal="center" shrinkToFit="0" vertical="bottom" wrapText="1"/>
    </xf>
    <xf borderId="0" fillId="4" fontId="12" numFmtId="0" xfId="0" applyAlignment="1" applyFont="1">
      <alignment vertical="bottom"/>
    </xf>
    <xf borderId="0" fillId="4" fontId="12" numFmtId="0" xfId="0" applyAlignment="1" applyFont="1">
      <alignment horizontal="center"/>
    </xf>
    <xf borderId="0" fillId="8" fontId="18" numFmtId="0" xfId="0" applyAlignment="1" applyFont="1">
      <alignment horizontal="center" readingOrder="0" shrinkToFit="0" wrapText="1"/>
    </xf>
    <xf borderId="0" fillId="4" fontId="34" numFmtId="0" xfId="0" applyAlignment="1" applyFont="1">
      <alignment horizontal="center" readingOrder="0"/>
    </xf>
    <xf borderId="0" fillId="4" fontId="12" numFmtId="0" xfId="0" applyAlignment="1" applyFont="1">
      <alignment horizontal="center" shrinkToFit="0" wrapText="1"/>
    </xf>
    <xf borderId="0" fillId="4" fontId="35" numFmtId="0" xfId="0" applyAlignment="1" applyFont="1">
      <alignment horizontal="center" shrinkToFit="0" wrapText="1"/>
    </xf>
    <xf borderId="0" fillId="16" fontId="12" numFmtId="0" xfId="0" applyAlignment="1" applyFont="1">
      <alignment horizontal="center"/>
    </xf>
    <xf borderId="0" fillId="8" fontId="47" numFmtId="0" xfId="0" applyAlignment="1" applyFont="1">
      <alignment horizontal="center"/>
    </xf>
    <xf borderId="0" fillId="4" fontId="48" numFmtId="0" xfId="0" applyAlignment="1" applyFont="1">
      <alignment horizontal="center" shrinkToFit="0" vertical="bottom" wrapText="1"/>
    </xf>
    <xf borderId="0" fillId="4" fontId="47" numFmtId="0" xfId="0" applyAlignment="1" applyFont="1">
      <alignment horizontal="center"/>
    </xf>
    <xf borderId="0" fillId="4" fontId="47" numFmtId="0" xfId="0" applyAlignment="1" applyFont="1">
      <alignment horizontal="center" shrinkToFit="0" wrapText="1"/>
    </xf>
    <xf borderId="0" fillId="8" fontId="49" numFmtId="0" xfId="0" applyAlignment="1" applyFont="1">
      <alignment horizontal="center" vertical="bottom"/>
    </xf>
    <xf borderId="0" fillId="4" fontId="12" numFmtId="0" xfId="0" applyAlignment="1" applyFont="1">
      <alignment horizontal="center" vertical="bottom"/>
    </xf>
    <xf borderId="0" fillId="8" fontId="12" numFmtId="0" xfId="0" applyAlignment="1" applyFont="1">
      <alignment horizontal="center" vertical="bottom"/>
    </xf>
    <xf borderId="0" fillId="4" fontId="50" numFmtId="0" xfId="0" applyAlignment="1" applyFont="1">
      <alignment horizontal="center" shrinkToFit="0" wrapText="1"/>
    </xf>
    <xf borderId="0" fillId="8" fontId="12" numFmtId="0" xfId="0" applyAlignment="1" applyFont="1">
      <alignment horizontal="center" shrinkToFit="0" wrapText="1"/>
    </xf>
    <xf borderId="0" fillId="4" fontId="12" numFmtId="0" xfId="0" applyAlignment="1" applyFont="1">
      <alignment horizontal="center"/>
    </xf>
    <xf borderId="0" fillId="4" fontId="12" numFmtId="0" xfId="0" applyFont="1"/>
    <xf borderId="0" fillId="4" fontId="12" numFmtId="0" xfId="0" applyAlignment="1" applyFont="1">
      <alignment horizontal="center" shrinkToFit="0" wrapText="1"/>
    </xf>
    <xf borderId="0" fillId="4" fontId="50" numFmtId="0" xfId="0" applyAlignment="1" applyFont="1">
      <alignment horizontal="center" shrinkToFit="0" wrapText="1"/>
    </xf>
    <xf borderId="0" fillId="16" fontId="12" numFmtId="0" xfId="0" applyAlignment="1" applyFont="1">
      <alignment horizontal="center"/>
    </xf>
    <xf borderId="0" fillId="16" fontId="3" numFmtId="0" xfId="0" applyAlignment="1" applyFont="1">
      <alignment readingOrder="0" shrinkToFit="0" vertical="center" wrapText="1"/>
    </xf>
    <xf borderId="0" fillId="4" fontId="51" numFmtId="0" xfId="0" applyAlignment="1" applyFont="1">
      <alignment horizontal="left" readingOrder="0" vertical="center"/>
    </xf>
    <xf borderId="0" fillId="13" fontId="4" numFmtId="0" xfId="0" applyAlignment="1" applyFont="1">
      <alignment horizontal="left" vertical="center"/>
    </xf>
    <xf borderId="0" fillId="2" fontId="12" numFmtId="0" xfId="0" applyAlignment="1" applyFont="1">
      <alignment horizontal="center"/>
    </xf>
    <xf borderId="0" fillId="2" fontId="43" numFmtId="0" xfId="0" applyAlignment="1" applyFont="1">
      <alignment horizontal="center" shrinkToFit="0" wrapText="1"/>
    </xf>
    <xf borderId="0" fillId="3" fontId="43" numFmtId="0" xfId="0" applyFont="1"/>
    <xf borderId="0" fillId="4" fontId="43" numFmtId="0" xfId="0" applyFont="1"/>
    <xf borderId="0" fillId="2" fontId="52" numFmtId="0" xfId="0" applyAlignment="1" applyFont="1">
      <alignment horizontal="center" shrinkToFit="0" wrapText="1"/>
    </xf>
    <xf borderId="0" fillId="4" fontId="43" numFmtId="0" xfId="0" applyAlignment="1" applyFont="1">
      <alignment readingOrder="0"/>
    </xf>
    <xf borderId="0" fillId="2" fontId="53" numFmtId="0" xfId="0" applyAlignment="1" applyFont="1">
      <alignment horizontal="center" vertical="bottom"/>
    </xf>
    <xf borderId="0" fillId="4" fontId="43" numFmtId="0" xfId="0" applyAlignment="1" applyFont="1">
      <alignment horizontal="left"/>
    </xf>
    <xf borderId="0" fillId="10" fontId="19" numFmtId="0" xfId="0" applyAlignment="1" applyFont="1">
      <alignment horizontal="center" readingOrder="0" shrinkToFit="0" wrapText="1"/>
    </xf>
    <xf borderId="0" fillId="8" fontId="12" numFmtId="0" xfId="0" applyAlignment="1" applyFont="1">
      <alignment horizontal="center" readingOrder="0" shrinkToFit="0" wrapText="1"/>
    </xf>
    <xf borderId="0" fillId="8" fontId="12" numFmtId="0" xfId="0" applyFont="1"/>
    <xf borderId="0" fillId="16" fontId="34" numFmtId="0" xfId="0" applyAlignment="1" applyFont="1">
      <alignment horizontal="center" readingOrder="0" vertical="center"/>
    </xf>
    <xf borderId="0" fillId="2" fontId="54" numFmtId="0" xfId="0" applyAlignment="1" applyFont="1">
      <alignment horizontal="center" shrinkToFit="0" vertical="bottom" wrapText="1"/>
    </xf>
    <xf borderId="0" fillId="8" fontId="12" numFmtId="0" xfId="0" applyAlignment="1" applyFont="1">
      <alignment horizontal="center" shrinkToFit="0" wrapText="1"/>
    </xf>
    <xf borderId="0" fillId="8" fontId="35" numFmtId="0" xfId="0" applyAlignment="1" applyFont="1">
      <alignment horizontal="center" readingOrder="0" shrinkToFit="0" wrapText="1"/>
    </xf>
    <xf borderId="0" fillId="2" fontId="12" numFmtId="0" xfId="0" applyAlignment="1" applyFont="1">
      <alignment vertical="bottom"/>
    </xf>
    <xf borderId="0" fillId="14" fontId="55" numFmtId="0" xfId="0" applyAlignment="1" applyFont="1">
      <alignment horizontal="center" readingOrder="0"/>
    </xf>
    <xf borderId="0" fillId="14" fontId="39" numFmtId="0" xfId="0" applyAlignment="1" applyFont="1">
      <alignment horizontal="center"/>
    </xf>
    <xf borderId="0" fillId="4" fontId="12" numFmtId="0" xfId="0" applyAlignment="1" applyFont="1">
      <alignment horizontal="center" readingOrder="0"/>
    </xf>
    <xf borderId="0" fillId="15" fontId="39" numFmtId="0" xfId="0" applyAlignment="1" applyFont="1">
      <alignment horizontal="center"/>
    </xf>
    <xf borderId="0" fillId="15" fontId="39" numFmtId="0" xfId="0" applyAlignment="1" applyFont="1">
      <alignment horizontal="center" shrinkToFit="0" wrapText="1"/>
    </xf>
    <xf borderId="0" fillId="4" fontId="56" numFmtId="0" xfId="0" applyAlignment="1" applyFont="1">
      <alignment horizontal="center" readingOrder="0"/>
    </xf>
    <xf borderId="0" fillId="4" fontId="57" numFmtId="0" xfId="0" applyFont="1"/>
    <xf borderId="0" fillId="8" fontId="1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shrinkToFit="0" wrapText="1"/>
    </xf>
    <xf borderId="0" fillId="4" fontId="35" numFmtId="0" xfId="0" applyAlignment="1" applyFont="1">
      <alignment horizontal="center" readingOrder="0" shrinkToFit="0" wrapText="1"/>
    </xf>
    <xf borderId="0" fillId="10" fontId="12" numFmtId="0" xfId="0" applyAlignment="1" applyFont="1">
      <alignment readingOrder="0"/>
    </xf>
    <xf borderId="0" fillId="8" fontId="12" numFmtId="0" xfId="0" applyAlignment="1" applyFont="1">
      <alignment horizontal="center"/>
    </xf>
    <xf borderId="0" fillId="16" fontId="12" numFmtId="0" xfId="0" applyFont="1"/>
    <xf borderId="0" fillId="16" fontId="49" numFmtId="0" xfId="0" applyAlignment="1" applyFont="1">
      <alignment horizontal="right" shrinkToFit="0" wrapText="1"/>
    </xf>
    <xf borderId="0" fillId="15" fontId="39" numFmtId="0" xfId="0" applyAlignment="1" applyFont="1">
      <alignment horizontal="center" vertical="center"/>
    </xf>
    <xf borderId="0" fillId="15" fontId="39" numFmtId="0" xfId="0" applyAlignment="1" applyFont="1">
      <alignment horizontal="center" vertical="center"/>
    </xf>
    <xf borderId="0" fillId="15" fontId="39" numFmtId="0" xfId="0" applyAlignment="1" applyFont="1">
      <alignment horizontal="center" shrinkToFit="0" vertical="center" wrapText="1"/>
    </xf>
    <xf borderId="0" fillId="8" fontId="47" numFmtId="0" xfId="0" applyAlignment="1" applyFont="1">
      <alignment horizontal="center" readingOrder="0"/>
    </xf>
    <xf borderId="0" fillId="8" fontId="12" numFmtId="0" xfId="0" applyAlignment="1" applyFont="1">
      <alignment horizontal="right" readingOrder="0"/>
    </xf>
    <xf borderId="0" fillId="8" fontId="12" numFmtId="0" xfId="0" applyAlignment="1" applyFont="1">
      <alignment readingOrder="0"/>
    </xf>
    <xf borderId="0" fillId="8" fontId="1" numFmtId="49" xfId="0" applyAlignment="1" applyFont="1" applyNumberFormat="1">
      <alignment horizontal="center" readingOrder="0" vertical="center"/>
    </xf>
    <xf borderId="0" fillId="4" fontId="26" numFmtId="0" xfId="0" applyAlignment="1" applyFont="1">
      <alignment readingOrder="0" vertical="center"/>
    </xf>
    <xf borderId="0" fillId="8" fontId="58" numFmtId="0" xfId="0" applyAlignment="1" applyFont="1">
      <alignment horizontal="center" readingOrder="0" vertical="center"/>
    </xf>
    <xf borderId="0" fillId="8" fontId="58" numFmtId="49" xfId="0" applyAlignment="1" applyFont="1" applyNumberFormat="1">
      <alignment horizontal="center" readingOrder="0" vertical="center"/>
    </xf>
    <xf borderId="0" fillId="8" fontId="58" numFmtId="0" xfId="0" applyAlignment="1" applyFont="1">
      <alignment horizontal="center" readingOrder="0" shrinkToFit="0" vertical="center" wrapText="1"/>
    </xf>
    <xf borderId="0" fillId="8" fontId="27" numFmtId="0" xfId="0" applyAlignment="1" applyFont="1">
      <alignment horizontal="center" shrinkToFit="0" vertical="center" wrapText="1"/>
    </xf>
    <xf borderId="0" fillId="4" fontId="59" numFmtId="0" xfId="0" applyAlignment="1" applyFont="1">
      <alignment readingOrder="0" vertical="center"/>
    </xf>
    <xf borderId="0" fillId="16" fontId="43" numFmtId="0" xfId="0" applyAlignment="1" applyFont="1">
      <alignment horizontal="right" shrinkToFit="0" wrapText="1"/>
    </xf>
    <xf borderId="0" fillId="8" fontId="60" numFmtId="0" xfId="0" applyAlignment="1" applyFont="1">
      <alignment horizontal="center" readingOrder="0" vertical="center"/>
    </xf>
    <xf borderId="0" fillId="8" fontId="12" numFmtId="0" xfId="0" applyAlignment="1" applyFont="1">
      <alignment horizontal="center" vertical="bottom"/>
    </xf>
    <xf borderId="0" fillId="4" fontId="12" numFmtId="0" xfId="0" applyAlignment="1" applyFont="1">
      <alignment horizontal="center" vertical="bottom"/>
    </xf>
    <xf borderId="0" fillId="4" fontId="12" numFmtId="0" xfId="0" applyAlignment="1" applyFont="1">
      <alignment horizontal="center" shrinkToFit="0" vertical="bottom" wrapText="1"/>
    </xf>
    <xf borderId="0" fillId="4" fontId="12" numFmtId="0" xfId="0" applyAlignment="1" applyFont="1">
      <alignment horizontal="center" shrinkToFit="0" vertical="bottom" wrapText="1"/>
    </xf>
    <xf borderId="0" fillId="4" fontId="35" numFmtId="0" xfId="0" applyAlignment="1" applyFont="1">
      <alignment horizontal="center" shrinkToFit="0" vertical="bottom" wrapText="1"/>
    </xf>
    <xf borderId="0" fillId="16" fontId="12" numFmtId="0" xfId="0" applyAlignment="1" applyFont="1">
      <alignment vertical="bottom"/>
    </xf>
    <xf borderId="0" fillId="8" fontId="47" numFmtId="0" xfId="0" applyAlignment="1" applyFont="1">
      <alignment horizontal="center" vertical="bottom"/>
    </xf>
    <xf borderId="0" fillId="16" fontId="12" numFmtId="0" xfId="0" applyAlignment="1" applyFont="1">
      <alignment horizontal="center" vertical="bottom"/>
    </xf>
    <xf borderId="0" fillId="4" fontId="1" numFmtId="0" xfId="0" applyAlignment="1" applyFont="1">
      <alignment readingOrder="0"/>
    </xf>
    <xf borderId="0" fillId="16" fontId="4" numFmtId="0" xfId="0" applyFont="1"/>
    <xf borderId="0" fillId="16" fontId="55" numFmtId="0" xfId="0" applyAlignment="1" applyFont="1">
      <alignment horizontal="center" readingOrder="0"/>
    </xf>
    <xf borderId="0" fillId="16" fontId="61" numFmtId="0" xfId="0" applyAlignment="1" applyFont="1">
      <alignment horizontal="center" readingOrder="0"/>
    </xf>
    <xf borderId="0" fillId="16" fontId="39" numFmtId="0" xfId="0" applyAlignment="1" applyFont="1">
      <alignment horizontal="center"/>
    </xf>
    <xf borderId="0" fillId="14" fontId="12" numFmtId="0" xfId="0" applyFont="1"/>
    <xf borderId="0" fillId="4" fontId="4" numFmtId="0" xfId="0" applyAlignment="1" applyFont="1">
      <alignment horizontal="center" readingOrder="0" vertical="center"/>
    </xf>
    <xf borderId="0" fillId="16" fontId="4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13" fontId="12" numFmtId="0" xfId="0" applyFont="1"/>
    <xf borderId="0" fillId="4" fontId="43" numFmtId="0" xfId="0" applyAlignment="1" applyFont="1">
      <alignment horizontal="right" shrinkToFit="0" wrapText="1"/>
    </xf>
    <xf borderId="0" fillId="13" fontId="12" numFmtId="0" xfId="0" applyAlignment="1" applyFont="1">
      <alignment horizontal="right"/>
    </xf>
    <xf borderId="0" fillId="18" fontId="12" numFmtId="0" xfId="0" applyFill="1" applyFont="1"/>
    <xf borderId="0" fillId="8" fontId="62" numFmtId="0" xfId="0" applyAlignment="1" applyFont="1">
      <alignment horizontal="center" readingOrder="0"/>
    </xf>
    <xf borderId="0" fillId="4" fontId="51" numFmtId="0" xfId="0" applyAlignment="1" applyFont="1">
      <alignment readingOrder="0" vertical="center"/>
    </xf>
    <xf borderId="0" fillId="6" fontId="4" numFmtId="0" xfId="0" applyAlignment="1" applyFont="1">
      <alignment horizontal="center" readingOrder="0" shrinkToFit="0" vertical="center" wrapText="1"/>
    </xf>
    <xf borderId="0" fillId="6" fontId="34" numFmtId="0" xfId="0" applyAlignment="1" applyFont="1">
      <alignment horizontal="center" readingOrder="0" shrinkToFit="0" vertical="center" wrapText="1"/>
    </xf>
    <xf borderId="0" fillId="8" fontId="63" numFmtId="0" xfId="0" applyAlignment="1" applyFont="1">
      <alignment horizontal="center" readingOrder="0" shrinkToFit="0" wrapText="1"/>
    </xf>
    <xf borderId="0" fillId="4" fontId="64" numFmtId="0" xfId="0" applyAlignment="1" applyFont="1">
      <alignment horizontal="center" readingOrder="0" vertical="center"/>
    </xf>
    <xf borderId="0" fillId="4" fontId="65" numFmtId="0" xfId="0" applyAlignment="1" applyFont="1">
      <alignment horizontal="center" readingOrder="0"/>
    </xf>
    <xf borderId="0" fillId="16" fontId="19" numFmtId="0" xfId="0" applyAlignment="1" applyFont="1">
      <alignment readingOrder="0"/>
    </xf>
    <xf borderId="0" fillId="9" fontId="27" numFmtId="0" xfId="0" applyAlignment="1" applyFont="1">
      <alignment horizontal="center" readingOrder="0" vertical="center"/>
    </xf>
    <xf borderId="0" fillId="9" fontId="27" numFmtId="0" xfId="0" applyAlignment="1" applyFont="1">
      <alignment horizontal="center" readingOrder="0" shrinkToFit="0" vertical="center" wrapText="1"/>
    </xf>
    <xf borderId="0" fillId="16" fontId="42" numFmtId="0" xfId="0" applyAlignment="1" applyFont="1">
      <alignment readingOrder="0"/>
    </xf>
    <xf borderId="0" fillId="16" fontId="19" numFmtId="0" xfId="0" applyAlignment="1" applyFont="1">
      <alignment horizontal="center" readingOrder="0"/>
    </xf>
    <xf borderId="0" fillId="9" fontId="23" numFmtId="0" xfId="0" applyAlignment="1" applyFont="1">
      <alignment horizontal="center" readingOrder="0"/>
    </xf>
    <xf borderId="0" fillId="4" fontId="22" numFmtId="0" xfId="0" applyAlignment="1" applyFont="1">
      <alignment horizontal="center" readingOrder="0" vertical="center"/>
    </xf>
    <xf borderId="0" fillId="14" fontId="66" numFmtId="0" xfId="0" applyAlignment="1" applyFont="1">
      <alignment horizontal="center" readingOrder="0"/>
    </xf>
    <xf borderId="0" fillId="8" fontId="34" numFmtId="0" xfId="0" applyAlignment="1" applyFont="1">
      <alignment horizontal="left" readingOrder="0" vertical="center"/>
    </xf>
    <xf borderId="0" fillId="4" fontId="12" numFmtId="0" xfId="0" applyAlignment="1" applyFont="1">
      <alignment horizontal="left" readingOrder="0"/>
    </xf>
    <xf borderId="0" fillId="9" fontId="4" numFmtId="0" xfId="0" applyAlignment="1" applyFont="1">
      <alignment horizontal="center" vertical="center"/>
    </xf>
    <xf borderId="0" fillId="4" fontId="12" numFmtId="0" xfId="0" applyAlignment="1" applyFont="1">
      <alignment horizontal="left"/>
    </xf>
    <xf borderId="0" fillId="9" fontId="17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16" fontId="25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16" fontId="12" numFmtId="0" xfId="0" applyAlignment="1" applyFont="1">
      <alignment horizontal="center" readingOrder="0"/>
    </xf>
    <xf borderId="0" fillId="4" fontId="47" numFmtId="0" xfId="0" applyAlignment="1" applyFont="1">
      <alignment horizontal="left"/>
    </xf>
    <xf borderId="0" fillId="4" fontId="47" numFmtId="0" xfId="0" applyAlignment="1" applyFont="1">
      <alignment horizontal="center" readingOrder="0" shrinkToFit="0" wrapText="1"/>
    </xf>
    <xf borderId="0" fillId="4" fontId="4" numFmtId="0" xfId="0" applyFont="1"/>
    <xf borderId="0" fillId="4" fontId="2" numFmtId="0" xfId="0" applyAlignment="1" applyFont="1">
      <alignment horizontal="center" readingOrder="0"/>
    </xf>
    <xf borderId="0" fillId="8" fontId="40" numFmtId="0" xfId="0" applyAlignment="1" applyFont="1">
      <alignment horizontal="center"/>
    </xf>
    <xf borderId="0" fillId="4" fontId="40" numFmtId="0" xfId="0" applyAlignment="1" applyFont="1">
      <alignment horizontal="center"/>
    </xf>
    <xf borderId="0" fillId="8" fontId="40" numFmtId="0" xfId="0" applyAlignment="1" applyFont="1">
      <alignment horizontal="center"/>
    </xf>
    <xf borderId="0" fillId="4" fontId="40" numFmtId="0" xfId="0" applyAlignment="1" applyFont="1">
      <alignment horizontal="center"/>
    </xf>
    <xf borderId="0" fillId="4" fontId="40" numFmtId="0" xfId="0" applyAlignment="1" applyFont="1">
      <alignment horizontal="center" shrinkToFit="0" wrapText="1"/>
    </xf>
    <xf borderId="0" fillId="4" fontId="41" numFmtId="0" xfId="0" applyAlignment="1" applyFont="1">
      <alignment horizontal="center" shrinkToFit="0" wrapText="1"/>
    </xf>
    <xf borderId="0" fillId="16" fontId="40" numFmtId="0" xfId="0" applyAlignment="1" applyFont="1">
      <alignment horizontal="center"/>
    </xf>
    <xf borderId="0" fillId="2" fontId="67" numFmtId="0" xfId="0" applyAlignment="1" applyFont="1">
      <alignment horizontal="left" readingOrder="0"/>
    </xf>
    <xf borderId="0" fillId="10" fontId="4" numFmtId="0" xfId="0" applyAlignment="1" applyFont="1">
      <alignment horizontal="center" readingOrder="0" shrinkToFit="0" vertical="center" wrapText="1"/>
    </xf>
    <xf borderId="0" fillId="10" fontId="17" numFmtId="0" xfId="0" applyAlignment="1" applyFont="1">
      <alignment horizontal="center" readingOrder="0" shrinkToFit="0" vertical="center" wrapText="1"/>
    </xf>
    <xf borderId="0" fillId="10" fontId="4" numFmtId="0" xfId="0" applyAlignment="1" applyFont="1">
      <alignment horizontal="center" shrinkToFit="0" vertical="center" wrapText="1"/>
    </xf>
    <xf borderId="0" fillId="10" fontId="4" numFmtId="0" xfId="0" applyAlignment="1" applyFont="1">
      <alignment horizontal="center" vertical="center"/>
    </xf>
    <xf borderId="0" fillId="2" fontId="4" numFmtId="0" xfId="0" applyAlignment="1" applyFont="1">
      <alignment horizontal="left"/>
    </xf>
    <xf borderId="0" fillId="4" fontId="40" numFmtId="0" xfId="0" applyFont="1"/>
    <xf borderId="0" fillId="14" fontId="5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vertical="center"/>
    </xf>
    <xf borderId="0" fillId="16" fontId="40" numFmtId="0" xfId="0" applyAlignment="1" applyFont="1">
      <alignment horizontal="center"/>
    </xf>
    <xf borderId="0" fillId="4" fontId="12" numFmtId="0" xfId="0" applyAlignment="1" applyFont="1">
      <alignment readingOrder="0" shrinkToFit="0" wrapText="1"/>
    </xf>
    <xf borderId="0" fillId="16" fontId="4" numFmtId="0" xfId="0" applyAlignment="1" applyFont="1">
      <alignment horizontal="left" readingOrder="0" vertical="center"/>
    </xf>
    <xf borderId="0" fillId="16" fontId="4" numFmtId="0" xfId="0" applyAlignment="1" applyFont="1">
      <alignment horizontal="left" vertical="center"/>
    </xf>
    <xf borderId="0" fillId="16" fontId="3" numFmtId="0" xfId="0" applyAlignment="1" applyFont="1">
      <alignment horizontal="left" vertical="center"/>
    </xf>
    <xf borderId="0" fillId="4" fontId="68" numFmtId="0" xfId="0" applyAlignment="1" applyFont="1">
      <alignment horizontal="center" shrinkToFit="0" vertical="bottom" wrapText="1"/>
    </xf>
    <xf borderId="0" fillId="4" fontId="40" numFmtId="0" xfId="0" applyAlignment="1" applyFont="1">
      <alignment horizontal="center"/>
    </xf>
    <xf borderId="0" fillId="9" fontId="4" numFmtId="0" xfId="0" applyAlignment="1" applyFont="1">
      <alignment horizontal="center" readingOrder="0" vertical="center"/>
    </xf>
    <xf borderId="0" fillId="4" fontId="40" numFmtId="0" xfId="0" applyAlignment="1" applyFont="1">
      <alignment horizontal="center" shrinkToFit="0" wrapText="1"/>
    </xf>
    <xf borderId="0" fillId="16" fontId="40" numFmtId="0" xfId="0" applyAlignment="1" applyFont="1">
      <alignment horizontal="center"/>
    </xf>
    <xf borderId="0" fillId="9" fontId="18" numFmtId="0" xfId="0" applyAlignment="1" applyFont="1">
      <alignment horizontal="left" readingOrder="0"/>
    </xf>
    <xf borderId="0" fillId="16" fontId="40" numFmtId="0" xfId="0" applyFont="1"/>
    <xf borderId="0" fillId="3" fontId="4" numFmtId="0" xfId="0" applyAlignment="1" applyFont="1">
      <alignment horizontal="center" readingOrder="0"/>
    </xf>
    <xf borderId="0" fillId="4" fontId="69" numFmtId="0" xfId="0" applyAlignment="1" applyFont="1">
      <alignment horizontal="center"/>
    </xf>
    <xf borderId="0" fillId="4" fontId="12" numFmtId="0" xfId="0" applyAlignment="1" applyFont="1">
      <alignment readingOrder="0"/>
    </xf>
    <xf borderId="0" fillId="8" fontId="41" numFmtId="0" xfId="0" applyAlignment="1" applyFont="1">
      <alignment horizontal="center"/>
    </xf>
    <xf borderId="0" fillId="4" fontId="70" numFmtId="0" xfId="0" applyAlignment="1" applyFont="1">
      <alignment vertical="bottom"/>
    </xf>
    <xf borderId="0" fillId="8" fontId="18" numFmtId="0" xfId="0" applyAlignment="1" applyFont="1">
      <alignment horizontal="center" readingOrder="0"/>
    </xf>
    <xf borderId="0" fillId="2" fontId="0" numFmtId="0" xfId="0" applyAlignment="1" applyFont="1">
      <alignment horizontal="center" readingOrder="0" vertical="center"/>
    </xf>
    <xf borderId="0" fillId="16" fontId="12" numFmtId="0" xfId="0" applyAlignment="1" applyFont="1">
      <alignment horizontal="left" readingOrder="0" vertical="center"/>
    </xf>
    <xf borderId="0" fillId="2" fontId="71" numFmtId="0" xfId="0" applyAlignment="1" applyFont="1">
      <alignment horizontal="center" readingOrder="0" shrinkToFit="0" vertical="center" wrapText="1"/>
    </xf>
    <xf borderId="0" fillId="3" fontId="72" numFmtId="0" xfId="0" applyAlignment="1" applyFont="1">
      <alignment readingOrder="0" vertical="center"/>
    </xf>
    <xf borderId="0" fillId="2" fontId="7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16" fontId="3" numFmtId="0" xfId="0" applyAlignment="1" applyFont="1">
      <alignment readingOrder="0" vertical="center"/>
    </xf>
    <xf borderId="0" fillId="4" fontId="3" numFmtId="0" xfId="0" applyAlignment="1" applyFont="1">
      <alignment horizontal="left" readingOrder="0" shrinkToFit="0" vertical="center" wrapText="1"/>
    </xf>
    <xf borderId="0" fillId="13" fontId="15" numFmtId="0" xfId="0" applyAlignment="1" applyFont="1">
      <alignment vertical="center"/>
    </xf>
    <xf borderId="0" fillId="14" fontId="10" numFmtId="0" xfId="0" applyAlignment="1" applyFont="1">
      <alignment horizontal="center" readingOrder="0" vertical="center"/>
    </xf>
    <xf borderId="0" fillId="15" fontId="10" numFmtId="0" xfId="0" applyAlignment="1" applyFont="1">
      <alignment horizontal="center" readingOrder="0" vertical="center"/>
    </xf>
    <xf borderId="0" fillId="8" fontId="74" numFmtId="0" xfId="0" applyAlignment="1" applyFont="1">
      <alignment shrinkToFit="0" vertical="bottom" wrapText="1"/>
    </xf>
    <xf borderId="0" fillId="8" fontId="26" numFmtId="0" xfId="0" applyAlignment="1" applyFont="1">
      <alignment horizontal="center" shrinkToFit="0" vertical="bottom" wrapText="1"/>
    </xf>
    <xf borderId="0" fillId="4" fontId="4" numFmtId="0" xfId="0" applyAlignment="1" applyFont="1">
      <alignment horizontal="center" readingOrder="0" shrinkToFit="0" wrapText="1"/>
    </xf>
    <xf borderId="0" fillId="8" fontId="74" numFmtId="0" xfId="0" applyAlignment="1" applyFont="1">
      <alignment readingOrder="0" shrinkToFit="0" vertical="bottom" wrapText="1"/>
    </xf>
    <xf borderId="0" fillId="8" fontId="26" numFmtId="0" xfId="0" applyAlignment="1" applyFont="1">
      <alignment horizontal="center" shrinkToFit="0" vertical="bottom" wrapText="1"/>
    </xf>
    <xf borderId="0" fillId="16" fontId="4" numFmtId="0" xfId="0" applyAlignment="1" applyFont="1">
      <alignment readingOrder="0"/>
    </xf>
    <xf borderId="0" fillId="4" fontId="4" numFmtId="0" xfId="0" applyAlignment="1" applyFont="1">
      <alignment horizontal="center" shrinkToFit="0" wrapText="1"/>
    </xf>
    <xf borderId="0" fillId="8" fontId="17" numFmtId="0" xfId="0" applyAlignment="1" applyFont="1">
      <alignment horizontal="center" readingOrder="0" shrinkToFit="0" wrapText="1"/>
    </xf>
    <xf borderId="0" fillId="16" fontId="15" numFmtId="0" xfId="0" applyAlignment="1" applyFont="1">
      <alignment vertical="center"/>
    </xf>
    <xf borderId="0" fillId="4" fontId="4" numFmtId="0" xfId="0" applyAlignment="1" applyFont="1">
      <alignment horizontal="center"/>
    </xf>
    <xf borderId="0" fillId="4" fontId="26" numFmtId="0" xfId="0" applyAlignment="1" applyFont="1">
      <alignment horizontal="center" shrinkToFit="0" vertical="bottom" wrapText="1"/>
    </xf>
    <xf borderId="0" fillId="4" fontId="26" numFmtId="0" xfId="0" applyAlignment="1" applyFont="1">
      <alignment horizontal="center" readingOrder="0" shrinkToFit="0" vertical="bottom" wrapText="1"/>
    </xf>
    <xf borderId="0" fillId="8" fontId="75" numFmtId="0" xfId="0" applyAlignment="1" applyFont="1">
      <alignment shrinkToFit="0" vertical="bottom" wrapText="1"/>
    </xf>
    <xf borderId="0" fillId="4" fontId="76" numFmtId="0" xfId="0" applyAlignment="1" applyFont="1">
      <alignment horizontal="center" shrinkToFit="0" vertical="bottom" wrapText="1"/>
    </xf>
    <xf borderId="0" fillId="4" fontId="27" numFmtId="0" xfId="0" applyFont="1"/>
    <xf borderId="0" fillId="4" fontId="27" numFmtId="0" xfId="0" applyAlignment="1" applyFont="1">
      <alignment horizontal="center" readingOrder="0"/>
    </xf>
    <xf borderId="0" fillId="4" fontId="27" numFmtId="0" xfId="0" applyAlignment="1" applyFont="1">
      <alignment horizontal="center" shrinkToFit="0" wrapText="1"/>
    </xf>
    <xf borderId="0" fillId="4" fontId="27" numFmtId="0" xfId="0" applyAlignment="1" applyFont="1">
      <alignment horizontal="center" readingOrder="0" shrinkToFit="0" wrapText="1"/>
    </xf>
    <xf borderId="0" fillId="8" fontId="27" numFmtId="0" xfId="0" applyAlignment="1" applyFont="1">
      <alignment horizontal="center" shrinkToFit="0" wrapText="1"/>
    </xf>
    <xf borderId="0" fillId="16" fontId="27" numFmtId="0" xfId="0" applyFont="1"/>
    <xf borderId="0" fillId="4" fontId="17" numFmtId="0" xfId="0" applyAlignment="1" applyFont="1">
      <alignment horizontal="center" readingOrder="0" shrinkToFit="0" wrapText="1"/>
    </xf>
    <xf borderId="0" fillId="16" fontId="4" numFmtId="0" xfId="0" applyAlignment="1" applyFont="1">
      <alignment horizontal="center"/>
    </xf>
    <xf borderId="0" fillId="16" fontId="4" numFmtId="0" xfId="0" applyAlignment="1" applyFont="1">
      <alignment horizontal="center" readingOrder="0" vertical="center"/>
    </xf>
    <xf borderId="0" fillId="4" fontId="50" numFmtId="0" xfId="0" applyAlignment="1" applyFont="1">
      <alignment shrinkToFit="0" vertical="bottom" wrapText="1"/>
    </xf>
    <xf borderId="0" fillId="4" fontId="12" numFmtId="0" xfId="0" applyAlignment="1" applyFont="1">
      <alignment horizontal="center" readingOrder="0" vertical="center"/>
    </xf>
    <xf borderId="1" fillId="4" fontId="77" numFmtId="0" xfId="0" applyAlignment="1" applyBorder="1" applyFont="1">
      <alignment horizontal="center" readingOrder="0" shrinkToFit="0" vertical="top" wrapText="0"/>
    </xf>
    <xf borderId="0" fillId="4" fontId="50" numFmtId="0" xfId="0" applyAlignment="1" applyFont="1">
      <alignment shrinkToFit="0" vertical="bottom" wrapText="1"/>
    </xf>
    <xf borderId="0" fillId="4" fontId="78" numFmtId="0" xfId="0" applyAlignment="1" applyFont="1">
      <alignment shrinkToFit="0" vertical="bottom" wrapText="1"/>
    </xf>
    <xf borderId="0" fillId="4" fontId="41" numFmtId="0" xfId="0" applyAlignment="1" applyFont="1">
      <alignment horizontal="center" vertical="bottom"/>
    </xf>
    <xf borderId="0" fillId="4" fontId="41" numFmtId="0" xfId="0" applyAlignment="1" applyFont="1">
      <alignment horizontal="center"/>
    </xf>
    <xf borderId="0" fillId="4" fontId="41" numFmtId="0" xfId="0" applyAlignment="1" applyFont="1">
      <alignment horizontal="center" shrinkToFit="0" vertical="bottom" wrapText="1"/>
    </xf>
    <xf borderId="0" fillId="16" fontId="41" numFmtId="0" xfId="0" applyAlignment="1" applyFont="1">
      <alignment vertical="bottom"/>
    </xf>
    <xf borderId="0" fillId="16" fontId="12" numFmtId="0" xfId="0" applyAlignment="1" applyFont="1">
      <alignment vertical="bottom"/>
    </xf>
    <xf quotePrefix="1" borderId="0" fillId="4" fontId="3" numFmtId="0" xfId="0" applyAlignment="1" applyFont="1">
      <alignment readingOrder="0" vertical="center"/>
    </xf>
    <xf borderId="0" fillId="4" fontId="3" numFmtId="0" xfId="0" applyAlignment="1" applyFont="1">
      <alignment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0" fillId="8" fontId="79" numFmtId="0" xfId="0" applyAlignment="1" applyFont="1">
      <alignment readingOrder="0"/>
    </xf>
    <xf borderId="0" fillId="8" fontId="25" numFmtId="0" xfId="0" applyAlignment="1" applyFont="1">
      <alignment readingOrder="0" shrinkToFit="0" vertical="top" wrapText="1"/>
    </xf>
    <xf borderId="0" fillId="8" fontId="80" numFmtId="0" xfId="0" applyAlignment="1" applyFont="1">
      <alignment readingOrder="0" shrinkToFit="0" vertical="top" wrapText="1"/>
    </xf>
    <xf borderId="0" fillId="4" fontId="23" numFmtId="0" xfId="0" applyAlignment="1" applyFont="1">
      <alignment horizontal="center" readingOrder="0" vertical="center"/>
    </xf>
    <xf borderId="0" fillId="4" fontId="81" numFmtId="0" xfId="0" applyAlignment="1" applyFont="1">
      <alignment horizontal="center" readingOrder="0" shrinkToFit="0" vertical="top" wrapText="1"/>
    </xf>
    <xf borderId="0" fillId="16" fontId="40" numFmtId="0" xfId="0" applyAlignment="1" applyFont="1">
      <alignment readingOrder="0"/>
    </xf>
    <xf borderId="0" fillId="4" fontId="18" numFmtId="0" xfId="0" applyAlignment="1" applyFont="1">
      <alignment readingOrder="0"/>
    </xf>
    <xf borderId="0" fillId="6" fontId="58" numFmtId="0" xfId="0" applyAlignment="1" applyFont="1">
      <alignment horizontal="center" readingOrder="0" vertical="center"/>
    </xf>
    <xf borderId="0" fillId="6" fontId="27" numFmtId="0" xfId="0" applyAlignment="1" applyFont="1">
      <alignment horizontal="center" readingOrder="0"/>
    </xf>
    <xf borderId="0" fillId="6" fontId="27" numFmtId="0" xfId="0" applyAlignment="1" applyFont="1">
      <alignment horizontal="center" readingOrder="0" vertical="center"/>
    </xf>
    <xf borderId="0" fillId="6" fontId="27" numFmtId="0" xfId="0" applyAlignment="1" applyFont="1">
      <alignment horizontal="center" readingOrder="0" shrinkToFit="0" vertical="center" wrapText="1"/>
    </xf>
    <xf borderId="0" fillId="6" fontId="40" numFmtId="0" xfId="0" applyAlignment="1" applyFont="1">
      <alignment horizontal="center" shrinkToFit="0" wrapText="1"/>
    </xf>
    <xf borderId="0" fillId="6" fontId="82" numFmtId="0" xfId="0" applyAlignment="1" applyFont="1">
      <alignment readingOrder="0"/>
    </xf>
    <xf borderId="0" fillId="4" fontId="1" numFmtId="0" xfId="0" applyAlignment="1" applyFont="1">
      <alignment horizontal="center" readingOrder="0" vertical="center"/>
    </xf>
    <xf borderId="0" fillId="16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readingOrder="0" vertical="center"/>
    </xf>
    <xf borderId="0" fillId="2" fontId="4" numFmtId="0" xfId="0" applyAlignment="1" applyFont="1">
      <alignment horizontal="center" shrinkToFit="0" wrapText="1"/>
    </xf>
    <xf borderId="0" fillId="13" fontId="4" numFmtId="0" xfId="0" applyAlignment="1" applyFont="1">
      <alignment horizontal="right" vertical="center"/>
    </xf>
    <xf borderId="0" fillId="13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right" readingOrder="0" vertical="center"/>
    </xf>
    <xf borderId="0" fillId="14" fontId="5" numFmtId="0" xfId="0" applyAlignment="1" applyFont="1">
      <alignment horizontal="center" readingOrder="0" shrinkToFit="0" vertical="center" wrapText="1"/>
    </xf>
    <xf borderId="0" fillId="4" fontId="51" numFmtId="0" xfId="0" applyAlignment="1" applyFont="1">
      <alignment horizontal="center" readingOrder="0" vertical="center"/>
    </xf>
    <xf borderId="0" fillId="8" fontId="12" numFmtId="0" xfId="0" applyAlignment="1" applyFont="1">
      <alignment readingOrder="0" shrinkToFit="0" vertical="bottom" wrapText="1"/>
    </xf>
    <xf borderId="0" fillId="2" fontId="83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right" readingOrder="0" shrinkToFit="0" vertical="center" wrapText="1"/>
    </xf>
    <xf borderId="0" fillId="4" fontId="12" numFmtId="0" xfId="0" applyAlignment="1" applyFont="1">
      <alignment horizontal="center" readingOrder="0" shrinkToFit="0" vertical="bottom" wrapText="1"/>
    </xf>
    <xf borderId="0" fillId="2" fontId="84" numFmtId="0" xfId="0" applyAlignment="1" applyFont="1">
      <alignment horizontal="center" readingOrder="0" vertical="center"/>
    </xf>
    <xf borderId="0" fillId="8" fontId="12" numFmtId="0" xfId="0" applyAlignment="1" applyFont="1">
      <alignment shrinkToFit="0" vertical="bottom" wrapText="1"/>
    </xf>
    <xf borderId="0" fillId="2" fontId="85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vertical="center"/>
    </xf>
    <xf borderId="0" fillId="13" fontId="4" numFmtId="0" xfId="0" applyAlignment="1" applyFont="1">
      <alignment horizontal="center" vertical="center"/>
    </xf>
    <xf borderId="0" fillId="16" fontId="3" numFmtId="0" xfId="0" applyAlignment="1" applyFont="1">
      <alignment horizontal="right" shrinkToFit="0" vertical="center" wrapText="1"/>
    </xf>
    <xf borderId="0" fillId="13" fontId="3" numFmtId="0" xfId="0" applyAlignment="1" applyFont="1">
      <alignment horizontal="center" vertical="center"/>
    </xf>
    <xf borderId="0" fillId="4" fontId="86" numFmtId="0" xfId="0" applyAlignment="1" applyFont="1">
      <alignment horizontal="center" readingOrder="0" vertical="center"/>
    </xf>
    <xf borderId="2" fillId="0" fontId="87" numFmtId="0" xfId="0" applyBorder="1" applyFont="1"/>
    <xf borderId="0" fillId="15" fontId="5" numFmtId="0" xfId="0" applyAlignment="1" applyFont="1">
      <alignment horizontal="left" readingOrder="0" vertical="center"/>
    </xf>
    <xf borderId="0" fillId="8" fontId="4" numFmtId="0" xfId="0" applyAlignment="1" applyFont="1">
      <alignment horizontal="left" readingOrder="0" vertical="center"/>
    </xf>
    <xf borderId="0" fillId="16" fontId="3" numFmtId="0" xfId="0" applyAlignment="1" applyFont="1">
      <alignment horizontal="center" readingOrder="0" vertical="center"/>
    </xf>
    <xf borderId="0" fillId="16" fontId="3" numFmtId="0" xfId="0" applyAlignment="1" applyFont="1">
      <alignment horizontal="center" vertical="center"/>
    </xf>
    <xf borderId="0" fillId="16" fontId="19" numFmtId="0" xfId="0" applyAlignment="1" applyFont="1">
      <alignment horizontal="center" readingOrder="0" vertical="center"/>
    </xf>
    <xf borderId="0" fillId="8" fontId="23" numFmtId="0" xfId="0" applyAlignment="1" applyFont="1">
      <alignment horizontal="left" readingOrder="0" vertical="center"/>
    </xf>
    <xf borderId="0" fillId="4" fontId="3" numFmtId="0" xfId="0" applyAlignment="1" applyFont="1">
      <alignment horizontal="center" readingOrder="0" shrinkToFit="0" vertical="center" wrapText="1"/>
    </xf>
    <xf borderId="0" fillId="4" fontId="38" numFmtId="0" xfId="0" applyAlignment="1" applyFont="1">
      <alignment horizontal="center" readingOrder="0"/>
    </xf>
    <xf borderId="0" fillId="13" fontId="12" numFmtId="0" xfId="0" applyAlignment="1" applyFont="1">
      <alignment shrinkToFit="0" wrapText="1"/>
    </xf>
    <xf borderId="0" fillId="13" fontId="12" numFmtId="0" xfId="0" applyAlignment="1" applyFont="1">
      <alignment horizontal="center"/>
    </xf>
    <xf borderId="0" fillId="13" fontId="12" numFmtId="0" xfId="0" applyAlignment="1" applyFont="1">
      <alignment horizontal="center" shrinkToFit="0" wrapText="1"/>
    </xf>
    <xf borderId="0" fillId="14" fontId="39" numFmtId="0" xfId="0" applyAlignment="1" applyFont="1">
      <alignment horizontal="center" readingOrder="0" vertical="bottom"/>
    </xf>
    <xf borderId="0" fillId="14" fontId="12" numFmtId="0" xfId="0" applyAlignment="1" applyFont="1">
      <alignment horizontal="center" shrinkToFit="0" vertical="bottom" wrapText="1"/>
    </xf>
    <xf borderId="0" fillId="15" fontId="39" numFmtId="0" xfId="0" applyAlignment="1" applyFont="1">
      <alignment horizontal="center" shrinkToFit="0" vertical="bottom" wrapText="1"/>
    </xf>
    <xf borderId="0" fillId="16" fontId="23" numFmtId="0" xfId="0" applyAlignment="1" applyFont="1">
      <alignment horizontal="center" readingOrder="0" shrinkToFit="0" wrapText="1"/>
    </xf>
    <xf borderId="0" fillId="10" fontId="4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left" vertical="center"/>
    </xf>
    <xf borderId="0" fillId="13" fontId="12" numFmtId="0" xfId="0" applyAlignment="1" applyFont="1">
      <alignment horizontal="left" vertical="center"/>
    </xf>
    <xf borderId="0" fillId="13" fontId="12" numFmtId="0" xfId="0" applyAlignment="1" applyFont="1">
      <alignment horizontal="center" vertical="center"/>
    </xf>
    <xf borderId="0" fillId="16" fontId="12" numFmtId="0" xfId="0" applyAlignment="1" applyFont="1">
      <alignment horizontal="center" readingOrder="0" shrinkToFit="0" wrapText="1"/>
    </xf>
    <xf borderId="0" fillId="13" fontId="12" numFmtId="0" xfId="0" applyAlignment="1" applyFont="1">
      <alignment vertical="center"/>
    </xf>
    <xf borderId="0" fillId="13" fontId="12" numFmtId="0" xfId="0" applyAlignment="1" applyFont="1">
      <alignment vertical="center"/>
    </xf>
    <xf borderId="0" fillId="13" fontId="12" numFmtId="0" xfId="0" applyAlignment="1" applyFont="1">
      <alignment horizontal="center" vertical="center"/>
    </xf>
    <xf borderId="0" fillId="16" fontId="43" numFmtId="0" xfId="0" applyAlignment="1" applyFont="1">
      <alignment horizontal="right" shrinkToFit="0" vertical="bottom" wrapText="1"/>
    </xf>
    <xf borderId="0" fillId="13" fontId="43" numFmtId="0" xfId="0" applyAlignment="1" applyFont="1">
      <alignment horizontal="center" vertical="center"/>
    </xf>
    <xf borderId="0" fillId="14" fontId="39" numFmtId="0" xfId="0" applyAlignment="1" applyFont="1">
      <alignment horizontal="left" readingOrder="0" vertical="center"/>
    </xf>
    <xf borderId="0" fillId="14" fontId="43" numFmtId="0" xfId="0" applyAlignment="1" applyFont="1">
      <alignment horizontal="center" vertical="center"/>
    </xf>
    <xf borderId="0" fillId="8" fontId="86" numFmtId="0" xfId="0" applyAlignment="1" applyFont="1">
      <alignment horizontal="center" readingOrder="0" vertical="center"/>
    </xf>
    <xf borderId="0" fillId="4" fontId="43" numFmtId="0" xfId="0" applyAlignment="1" applyFont="1">
      <alignment horizontal="center" vertical="center"/>
    </xf>
    <xf borderId="0" fillId="15" fontId="39" numFmtId="0" xfId="0" applyAlignment="1" applyFont="1">
      <alignment horizontal="center" shrinkToFit="0" vertical="center" wrapText="1"/>
    </xf>
    <xf borderId="0" fillId="9" fontId="23" numFmtId="0" xfId="0" applyAlignment="1" applyFont="1">
      <alignment horizontal="left" readingOrder="0" vertical="center"/>
    </xf>
    <xf borderId="0" fillId="4" fontId="12" numFmtId="0" xfId="0" applyAlignment="1" applyFont="1">
      <alignment readingOrder="0" vertical="center"/>
    </xf>
    <xf borderId="0" fillId="16" fontId="12" numFmtId="0" xfId="0" applyAlignment="1" applyFont="1">
      <alignment shrinkToFit="0" vertical="bottom" wrapText="1"/>
    </xf>
    <xf borderId="0" fillId="16" fontId="12" numFmtId="0" xfId="0" applyAlignment="1" applyFont="1">
      <alignment horizontal="center" shrinkToFit="0" vertical="bottom" wrapText="1"/>
    </xf>
    <xf borderId="0" fillId="9" fontId="12" numFmtId="0" xfId="0" applyAlignment="1" applyFont="1">
      <alignment horizontal="center" readingOrder="0" vertical="center"/>
    </xf>
    <xf borderId="0" fillId="13" fontId="12" numFmtId="0" xfId="0" applyAlignment="1" applyFont="1">
      <alignment vertical="bottom"/>
    </xf>
    <xf borderId="0" fillId="13" fontId="12" numFmtId="0" xfId="0" applyAlignment="1" applyFont="1">
      <alignment horizontal="right" vertical="bottom"/>
    </xf>
    <xf borderId="0" fillId="13" fontId="12" numFmtId="0" xfId="0" applyAlignment="1" applyFont="1">
      <alignment shrinkToFit="0" vertical="bottom" wrapText="1"/>
    </xf>
    <xf borderId="0" fillId="13" fontId="12" numFmtId="0" xfId="0" applyAlignment="1" applyFont="1">
      <alignment horizontal="center" shrinkToFit="0" vertical="bottom" wrapText="1"/>
    </xf>
    <xf borderId="0" fillId="16" fontId="43" numFmtId="0" xfId="0" applyAlignment="1" applyFont="1">
      <alignment horizontal="center" readingOrder="0" vertical="center"/>
    </xf>
    <xf borderId="0" fillId="9" fontId="12" numFmtId="0" xfId="0" applyAlignment="1" applyFont="1">
      <alignment horizontal="left" readingOrder="0" vertical="center"/>
    </xf>
    <xf borderId="0" fillId="14" fontId="12" numFmtId="0" xfId="0" applyAlignment="1" applyFont="1">
      <alignment horizontal="center" shrinkToFit="0" wrapText="1"/>
    </xf>
    <xf borderId="0" fillId="4" fontId="12" numFmtId="0" xfId="0" applyAlignment="1" applyFont="1">
      <alignment horizontal="left" vertical="center"/>
    </xf>
    <xf borderId="0" fillId="4" fontId="12" numFmtId="0" xfId="0" applyAlignment="1" applyFont="1">
      <alignment horizontal="center" vertical="center"/>
    </xf>
    <xf borderId="0" fillId="4" fontId="12" numFmtId="0" xfId="0" applyAlignment="1" applyFont="1">
      <alignment vertical="center"/>
    </xf>
    <xf borderId="0" fillId="4" fontId="12" numFmtId="0" xfId="0" applyAlignment="1" applyFont="1">
      <alignment horizontal="center" vertical="center"/>
    </xf>
    <xf borderId="0" fillId="4" fontId="12" numFmtId="0" xfId="0" applyAlignment="1" applyFont="1">
      <alignment horizontal="right" readingOrder="0"/>
    </xf>
    <xf borderId="0" fillId="16" fontId="12" numFmtId="0" xfId="0" applyAlignment="1" applyFont="1">
      <alignment horizontal="left" vertical="center"/>
    </xf>
    <xf borderId="0" fillId="16" fontId="12" numFmtId="0" xfId="0" applyAlignment="1" applyFont="1">
      <alignment horizontal="center" vertical="center"/>
    </xf>
    <xf borderId="0" fillId="16" fontId="12" numFmtId="0" xfId="0" applyAlignment="1" applyFont="1">
      <alignment vertical="center"/>
    </xf>
    <xf borderId="0" fillId="16" fontId="12" numFmtId="0" xfId="0" applyAlignment="1" applyFont="1">
      <alignment horizontal="center" shrinkToFit="0" wrapText="1"/>
    </xf>
    <xf borderId="0" fillId="16" fontId="43" numFmtId="0" xfId="0" applyAlignment="1" applyFont="1">
      <alignment horizontal="right" shrinkToFit="0" vertical="center" wrapText="1"/>
    </xf>
    <xf borderId="0" fillId="16" fontId="43" numFmtId="0" xfId="0" applyAlignment="1" applyFont="1">
      <alignment horizontal="center" shrinkToFit="0" vertical="center" wrapText="1"/>
    </xf>
    <xf borderId="0" fillId="16" fontId="12" numFmtId="0" xfId="0" applyAlignment="1" applyFont="1">
      <alignment horizontal="center" vertical="center"/>
    </xf>
    <xf borderId="0" fillId="16" fontId="43" numFmtId="0" xfId="0" applyAlignment="1" applyFont="1">
      <alignment horizontal="center" vertical="center"/>
    </xf>
    <xf borderId="0" fillId="16" fontId="12" numFmtId="0" xfId="0" applyAlignment="1" applyFont="1">
      <alignment horizontal="center" readingOrder="0" shrinkToFit="0" wrapText="1"/>
    </xf>
    <xf borderId="0" fillId="4" fontId="12" numFmtId="0" xfId="0" applyAlignment="1" applyFont="1">
      <alignment horizontal="left" readingOrder="0" vertical="center"/>
    </xf>
    <xf quotePrefix="1" borderId="0" fillId="4" fontId="12" numFmtId="0" xfId="0" applyAlignment="1" applyFont="1">
      <alignment horizontal="center" readingOrder="0" vertical="center"/>
    </xf>
    <xf borderId="0" fillId="16" fontId="12" numFmtId="0" xfId="0" applyAlignment="1" applyFont="1">
      <alignment shrinkToFit="0" wrapText="1"/>
    </xf>
    <xf borderId="0" fillId="9" fontId="4" numFmtId="0" xfId="0" applyAlignment="1" applyFont="1">
      <alignment horizontal="left" readingOrder="0" vertical="center"/>
    </xf>
    <xf borderId="0" fillId="16" fontId="43" numFmtId="0" xfId="0" applyAlignment="1" applyFont="1">
      <alignment horizontal="center" readingOrder="0" vertical="center"/>
    </xf>
    <xf borderId="0" fillId="9" fontId="12" numFmtId="0" xfId="0" applyAlignment="1" applyFont="1">
      <alignment horizontal="center" readingOrder="0" shrinkToFit="0" wrapText="1"/>
    </xf>
    <xf borderId="0" fillId="9" fontId="12" numFmtId="0" xfId="0" applyAlignment="1" applyFont="1">
      <alignment horizontal="left" readingOrder="0" shrinkToFit="0" vertical="center" wrapText="1"/>
    </xf>
    <xf borderId="0" fillId="4" fontId="38" numFmtId="0" xfId="0" applyAlignment="1" applyFont="1">
      <alignment horizontal="center" readingOrder="0" vertical="center"/>
    </xf>
    <xf borderId="0" fillId="16" fontId="12" numFmtId="0" xfId="0" applyAlignment="1" applyFont="1">
      <alignment horizontal="left" readingOrder="0" shrinkToFit="0" wrapText="1"/>
    </xf>
    <xf borderId="0" fillId="9" fontId="12" numFmtId="0" xfId="0" applyAlignment="1" applyFont="1">
      <alignment horizontal="center" shrinkToFit="0" wrapText="1"/>
    </xf>
    <xf borderId="0" fillId="9" fontId="12" numFmtId="0" xfId="0" applyAlignment="1" applyFont="1">
      <alignment horizontal="center" readingOrder="0" shrinkToFit="0" vertical="center" wrapText="1"/>
    </xf>
    <xf borderId="0" fillId="9" fontId="12" numFmtId="0" xfId="0" applyAlignment="1" applyFont="1">
      <alignment horizontal="center" readingOrder="0" vertical="bottom"/>
    </xf>
    <xf borderId="0" fillId="9" fontId="12" numFmtId="0" xfId="0" applyAlignment="1" applyFont="1">
      <alignment horizontal="center" vertical="bottom"/>
    </xf>
    <xf borderId="0" fillId="9" fontId="3" numFmtId="0" xfId="0" applyAlignment="1" applyFont="1">
      <alignment horizontal="center" readingOrder="0" vertical="center"/>
    </xf>
    <xf borderId="0" fillId="9" fontId="12" numFmtId="0" xfId="0" applyAlignment="1" applyFont="1">
      <alignment readingOrder="0" shrinkToFit="0" vertical="bottom" wrapText="1"/>
    </xf>
    <xf borderId="0" fillId="13" fontId="12" numFmtId="0" xfId="0" applyAlignment="1" applyFont="1">
      <alignment horizontal="center"/>
    </xf>
    <xf borderId="0" fillId="13" fontId="12" numFmtId="0" xfId="0" applyAlignment="1" applyFont="1">
      <alignment horizontal="left" shrinkToFit="0" wrapText="1"/>
    </xf>
    <xf borderId="0" fillId="14" fontId="12" numFmtId="0" xfId="0" applyAlignment="1" applyFont="1">
      <alignment horizontal="left" shrinkToFit="0" wrapText="1"/>
    </xf>
    <xf borderId="0" fillId="4" fontId="12" numFmtId="0" xfId="0" applyAlignment="1" applyFont="1">
      <alignment horizontal="left" shrinkToFit="0" wrapText="1"/>
    </xf>
    <xf borderId="0" fillId="16" fontId="12" numFmtId="0" xfId="0" applyAlignment="1" applyFont="1">
      <alignment horizontal="center" readingOrder="0" vertical="center"/>
    </xf>
    <xf borderId="0" fillId="4" fontId="45" numFmtId="0" xfId="0" applyAlignment="1" applyFont="1">
      <alignment horizontal="left" readingOrder="0" shrinkToFit="0" vertical="center" wrapText="1"/>
    </xf>
    <xf borderId="0" fillId="15" fontId="39" numFmtId="0" xfId="0" applyAlignment="1" applyFont="1">
      <alignment horizontal="left" shrinkToFit="0" wrapText="1"/>
    </xf>
    <xf borderId="0" fillId="16" fontId="12" numFmtId="0" xfId="0" applyAlignment="1" applyFont="1">
      <alignment horizontal="left" readingOrder="0" shrinkToFit="0" vertical="center" wrapText="1"/>
    </xf>
    <xf borderId="0" fillId="9" fontId="88" numFmtId="0" xfId="0" applyAlignment="1" applyFont="1">
      <alignment horizontal="center" readingOrder="0"/>
    </xf>
    <xf borderId="0" fillId="9" fontId="12" numFmtId="0" xfId="0" applyAlignment="1" applyFont="1">
      <alignment horizontal="center" readingOrder="0"/>
    </xf>
    <xf borderId="0" fillId="9" fontId="23" numFmtId="0" xfId="0" applyAlignment="1" applyFont="1">
      <alignment horizontal="left" readingOrder="0" shrinkToFit="0" vertical="center" wrapText="1"/>
    </xf>
    <xf borderId="0" fillId="16" fontId="12" numFmtId="0" xfId="0" applyAlignment="1" applyFont="1">
      <alignment horizontal="left" shrinkToFit="0" wrapText="1"/>
    </xf>
    <xf borderId="0" fillId="16" fontId="43" numFmtId="0" xfId="0" applyAlignment="1" applyFont="1">
      <alignment horizontal="center" readingOrder="0" shrinkToFit="0" vertical="center" wrapText="1"/>
    </xf>
    <xf borderId="0" fillId="9" fontId="12" numFmtId="0" xfId="0" applyAlignment="1" applyFont="1">
      <alignment shrinkToFit="0" vertical="bottom" wrapText="1"/>
    </xf>
    <xf borderId="0" fillId="16" fontId="12" numFmtId="0" xfId="0" applyAlignment="1" applyFont="1">
      <alignment horizontal="left" readingOrder="0" shrinkToFit="0" vertical="center" wrapText="1"/>
    </xf>
    <xf borderId="0" fillId="4" fontId="45" numFmtId="0" xfId="0" applyAlignment="1" applyFont="1">
      <alignment horizontal="center" vertical="bottom"/>
    </xf>
    <xf borderId="0" fillId="8" fontId="12" numFmtId="0" xfId="0" applyAlignment="1" applyFont="1">
      <alignment horizontal="left" readingOrder="0" vertical="center"/>
    </xf>
    <xf borderId="0" fillId="4" fontId="12" numFmtId="0" xfId="0" applyAlignment="1" applyFont="1">
      <alignment horizontal="right" shrinkToFit="0" wrapText="1"/>
    </xf>
    <xf borderId="0" fillId="16" fontId="12" numFmtId="0" xfId="0" applyAlignment="1" applyFont="1">
      <alignment horizontal="center" readingOrder="0" vertical="center"/>
    </xf>
    <xf borderId="0" fillId="8" fontId="40" numFmtId="0" xfId="0" applyAlignment="1" applyFont="1">
      <alignment horizontal="left" readingOrder="0" vertical="center"/>
    </xf>
    <xf borderId="0" fillId="4" fontId="40" numFmtId="0" xfId="0" applyAlignment="1" applyFont="1">
      <alignment horizontal="center" readingOrder="0" vertical="center"/>
    </xf>
    <xf borderId="0" fillId="4" fontId="43" numFmtId="0" xfId="0" applyAlignment="1" applyFont="1">
      <alignment horizontal="right" readingOrder="0" shrinkToFit="0" wrapText="1"/>
    </xf>
    <xf borderId="0" fillId="4" fontId="40" numFmtId="0" xfId="0" applyAlignment="1" applyFont="1">
      <alignment readingOrder="0" vertical="center"/>
    </xf>
    <xf borderId="0" fillId="10" fontId="3" numFmtId="0" xfId="0" applyAlignment="1" applyFont="1">
      <alignment horizontal="center" readingOrder="0" vertical="center"/>
    </xf>
    <xf borderId="0" fillId="4" fontId="89" numFmtId="0" xfId="0" applyAlignment="1" applyFont="1">
      <alignment horizontal="center" readingOrder="0"/>
    </xf>
    <xf borderId="0" fillId="16" fontId="40" numFmtId="0" xfId="0" applyAlignment="1" applyFont="1">
      <alignment horizontal="center" readingOrder="0" vertical="center"/>
    </xf>
    <xf borderId="0" fillId="15" fontId="39" numFmtId="0" xfId="0" applyAlignment="1" applyFont="1">
      <alignment horizontal="center" readingOrder="0" shrinkToFit="0" wrapText="1"/>
    </xf>
    <xf borderId="3" fillId="10" fontId="43" numFmtId="0" xfId="0" applyAlignment="1" applyBorder="1" applyFont="1">
      <alignment horizontal="left" readingOrder="0" vertical="center"/>
    </xf>
    <xf borderId="0" fillId="19" fontId="38" numFmtId="0" xfId="0" applyAlignment="1" applyFill="1" applyFont="1">
      <alignment horizontal="center" readingOrder="0"/>
    </xf>
    <xf borderId="0" fillId="8" fontId="12" numFmtId="0" xfId="0" applyAlignment="1" applyFont="1">
      <alignment horizontal="left" readingOrder="0"/>
    </xf>
    <xf borderId="0" fillId="3" fontId="12" numFmtId="0" xfId="0" applyAlignment="1" applyFont="1">
      <alignment horizontal="center" readingOrder="0"/>
    </xf>
    <xf borderId="4" fillId="10" fontId="43" numFmtId="0" xfId="0" applyAlignment="1" applyBorder="1" applyFont="1">
      <alignment horizontal="left" readingOrder="0" vertical="center"/>
    </xf>
    <xf borderId="0" fillId="3" fontId="12" numFmtId="0" xfId="0" applyAlignment="1" applyFont="1">
      <alignment horizontal="center" readingOrder="0"/>
    </xf>
    <xf borderId="4" fillId="10" fontId="2" numFmtId="0" xfId="0" applyAlignment="1" applyBorder="1" applyFont="1">
      <alignment readingOrder="0" shrinkToFit="0" vertical="bottom" wrapText="1"/>
    </xf>
    <xf borderId="0" fillId="19" fontId="4" numFmtId="0" xfId="0" applyAlignment="1" applyFont="1">
      <alignment horizontal="center" readingOrder="0"/>
    </xf>
    <xf borderId="0" fillId="8" fontId="12" numFmtId="0" xfId="0" applyAlignment="1" applyFont="1">
      <alignment horizontal="left" readingOrder="0" shrinkToFit="0" vertical="bottom" wrapText="1"/>
    </xf>
    <xf borderId="0" fillId="3" fontId="12" numFmtId="0" xfId="0" applyAlignment="1" applyFont="1">
      <alignment horizontal="center" readingOrder="0" shrinkToFit="0" wrapText="1"/>
    </xf>
    <xf borderId="0" fillId="3" fontId="12" numFmtId="0" xfId="0" applyAlignment="1" applyFont="1">
      <alignment horizontal="center" shrinkToFit="0" wrapText="1"/>
    </xf>
    <xf borderId="5" fillId="0" fontId="87" numFmtId="0" xfId="0" applyBorder="1" applyFont="1"/>
    <xf borderId="0" fillId="4" fontId="86" numFmtId="0" xfId="0" applyAlignment="1" applyFont="1">
      <alignment horizontal="center" readingOrder="0"/>
    </xf>
    <xf borderId="0" fillId="16" fontId="12" numFmtId="0" xfId="0" applyAlignment="1" applyFont="1">
      <alignment horizontal="center" readingOrder="0" shrinkToFit="0" vertical="bottom" wrapText="1"/>
    </xf>
    <xf borderId="0" fillId="19" fontId="12" numFmtId="0" xfId="0" applyAlignment="1" applyFont="1">
      <alignment horizontal="center" readingOrder="0"/>
    </xf>
    <xf borderId="0" fillId="10" fontId="4" numFmtId="0" xfId="0" applyAlignment="1" applyFont="1">
      <alignment readingOrder="0"/>
    </xf>
    <xf borderId="0" fillId="8" fontId="88" numFmtId="0" xfId="0" applyAlignment="1" applyFont="1">
      <alignment horizontal="center" readingOrder="0"/>
    </xf>
    <xf borderId="0" fillId="11" fontId="4" numFmtId="0" xfId="0" applyAlignment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9" fillId="8" fontId="12" numFmtId="0" xfId="0" applyAlignment="1" applyBorder="1" applyFont="1">
      <alignment horizontal="left" readingOrder="0"/>
    </xf>
    <xf borderId="2" fillId="10" fontId="4" numFmtId="0" xfId="0" applyAlignment="1" applyBorder="1" applyFont="1">
      <alignment readingOrder="0"/>
    </xf>
    <xf borderId="9" fillId="8" fontId="12" numFmtId="0" xfId="0" applyAlignment="1" applyBorder="1" applyFont="1">
      <alignment horizontal="left" readingOrder="0" shrinkToFit="0" vertical="bottom" wrapText="1"/>
    </xf>
    <xf borderId="10" fillId="8" fontId="12" numFmtId="0" xfId="0" applyAlignment="1" applyBorder="1" applyFont="1">
      <alignment horizontal="left" readingOrder="0"/>
    </xf>
    <xf borderId="11" fillId="11" fontId="4" numFmtId="0" xfId="0" applyAlignment="1" applyBorder="1" applyFont="1">
      <alignment readingOrder="0"/>
    </xf>
    <xf borderId="0" fillId="9" fontId="12" numFmtId="0" xfId="0" applyAlignment="1" applyFont="1">
      <alignment horizontal="left" readingOrder="0"/>
    </xf>
    <xf borderId="12" fillId="0" fontId="87" numFmtId="0" xfId="0" applyBorder="1" applyFont="1"/>
    <xf borderId="0" fillId="6" fontId="4" numFmtId="0" xfId="0" applyAlignment="1" applyFont="1">
      <alignment readingOrder="0"/>
    </xf>
    <xf borderId="0" fillId="8" fontId="86" numFmtId="0" xfId="0" applyAlignment="1" applyFont="1">
      <alignment horizontal="center" readingOrder="0"/>
    </xf>
    <xf borderId="0" fillId="9" fontId="23" numFmtId="0" xfId="0" applyAlignment="1" applyFont="1">
      <alignment shrinkToFit="0" vertical="bottom" wrapText="1"/>
    </xf>
    <xf borderId="0" fillId="9" fontId="23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/>
    </xf>
    <xf borderId="0" fillId="9" fontId="12" numFmtId="0" xfId="0" applyAlignment="1" applyFont="1">
      <alignment readingOrder="0"/>
    </xf>
    <xf borderId="0" fillId="9" fontId="12" numFmtId="0" xfId="0" applyAlignment="1" applyFont="1">
      <alignment horizontal="right" readingOrder="0"/>
    </xf>
    <xf borderId="0" fillId="4" fontId="12" numFmtId="0" xfId="0" applyAlignment="1" applyFont="1">
      <alignment readingOrder="0" shrinkToFit="0" vertical="bottom" wrapText="1"/>
    </xf>
    <xf borderId="0" fillId="9" fontId="12" numFmtId="0" xfId="0" applyAlignment="1" applyFont="1">
      <alignment horizontal="center" shrinkToFit="0" wrapText="1"/>
    </xf>
    <xf borderId="0" fillId="9" fontId="45" numFmtId="0" xfId="0" applyAlignment="1" applyFont="1">
      <alignment horizontal="center" vertical="bottom"/>
    </xf>
    <xf borderId="0" fillId="9" fontId="35" numFmtId="0" xfId="0" applyAlignment="1" applyFont="1">
      <alignment horizontal="right" readingOrder="0"/>
    </xf>
    <xf borderId="0" fillId="9" fontId="45" numFmtId="0" xfId="0" applyAlignment="1" applyFont="1">
      <alignment horizontal="center" readingOrder="0" vertical="bottom"/>
    </xf>
    <xf borderId="0" fillId="4" fontId="12" numFmtId="0" xfId="0" applyAlignment="1" applyFont="1">
      <alignment shrinkToFit="0" vertical="bottom" wrapText="1"/>
    </xf>
    <xf borderId="0" fillId="8" fontId="43" numFmtId="0" xfId="0" applyAlignment="1" applyFont="1">
      <alignment horizontal="center" readingOrder="0"/>
    </xf>
    <xf borderId="0" fillId="14" fontId="90" numFmtId="0" xfId="0" applyAlignment="1" applyFont="1">
      <alignment horizontal="center" readingOrder="0"/>
    </xf>
    <xf borderId="0" fillId="4" fontId="86" numFmtId="0" xfId="0" applyAlignment="1" applyFont="1">
      <alignment horizontal="center" readingOrder="0" vertical="bottom"/>
    </xf>
    <xf borderId="0" fillId="8" fontId="12" numFmtId="0" xfId="0" applyAlignment="1" applyFont="1">
      <alignment horizontal="left" vertical="center"/>
    </xf>
    <xf borderId="0" fillId="8" fontId="12" numFmtId="0" xfId="0" applyAlignment="1" applyFont="1">
      <alignment horizontal="left" readingOrder="0" shrinkToFit="0" vertical="center" wrapText="1"/>
    </xf>
    <xf borderId="0" fillId="9" fontId="12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/>
    </xf>
    <xf borderId="0" fillId="9" fontId="12" numFmtId="0" xfId="0" applyAlignment="1" applyFont="1">
      <alignment horizontal="center" readingOrder="0" vertical="center"/>
    </xf>
    <xf borderId="0" fillId="9" fontId="12" numFmtId="0" xfId="0" applyAlignment="1" applyFont="1">
      <alignment readingOrder="0" vertical="center"/>
    </xf>
    <xf borderId="0" fillId="9" fontId="43" numFmtId="0" xfId="0" applyAlignment="1" applyFont="1">
      <alignment horizontal="center" readingOrder="0" vertical="center"/>
    </xf>
    <xf borderId="0" fillId="4" fontId="12" numFmtId="0" xfId="0" applyAlignment="1" applyFont="1">
      <alignment horizontal="left" readingOrder="0" vertical="center"/>
    </xf>
    <xf borderId="0" fillId="4" fontId="12" numFmtId="0" xfId="0" applyAlignment="1" applyFont="1">
      <alignment horizontal="center" readingOrder="0" vertical="center"/>
    </xf>
    <xf borderId="0" fillId="9" fontId="12" numFmtId="0" xfId="0" applyAlignment="1" applyFont="1">
      <alignment shrinkToFit="0" vertical="center" wrapText="1"/>
    </xf>
    <xf borderId="0" fillId="13" fontId="43" numFmtId="0" xfId="0" applyAlignment="1" applyFont="1">
      <alignment horizontal="right" shrinkToFit="0" vertical="center" wrapText="1"/>
    </xf>
    <xf borderId="0" fillId="13" fontId="43" numFmtId="0" xfId="0" applyAlignment="1" applyFont="1">
      <alignment horizontal="center" shrinkToFit="0" vertical="center" wrapText="1"/>
    </xf>
    <xf borderId="0" fillId="4" fontId="40" numFmtId="0" xfId="0" applyAlignment="1" applyFont="1">
      <alignment readingOrder="0" shrinkToFit="0" vertical="bottom" wrapText="1"/>
    </xf>
    <xf borderId="0" fillId="4" fontId="91" numFmtId="0" xfId="0" applyAlignment="1" applyFont="1">
      <alignment horizontal="center" readingOrder="0"/>
    </xf>
    <xf borderId="0" fillId="4" fontId="12" numFmtId="0" xfId="0" applyAlignment="1" applyFont="1">
      <alignment horizontal="center" readingOrder="0" shrinkToFit="0" vertical="center" wrapText="1"/>
    </xf>
    <xf borderId="0" fillId="4" fontId="27" numFmtId="0" xfId="0" applyAlignment="1" applyFont="1">
      <alignment horizontal="right" readingOrder="0" shrinkToFit="0" vertical="center" wrapText="1"/>
    </xf>
    <xf borderId="0" fillId="16" fontId="27" numFmtId="0" xfId="0" applyAlignment="1" applyFont="1">
      <alignment horizontal="center" readingOrder="0" vertical="center"/>
    </xf>
    <xf borderId="0" fillId="8" fontId="86" numFmtId="0" xfId="0" applyAlignment="1" applyFont="1">
      <alignment horizontal="center" readingOrder="0" vertical="bottom"/>
    </xf>
    <xf borderId="0" fillId="14" fontId="12" numFmtId="0" xfId="0" applyAlignment="1" applyFont="1">
      <alignment horizontal="center" vertical="bottom"/>
    </xf>
    <xf borderId="0" fillId="16" fontId="12" numFmtId="0" xfId="0" applyAlignment="1" applyFont="1">
      <alignment readingOrder="0" shrinkToFit="0" wrapText="1"/>
    </xf>
    <xf borderId="0" fillId="11" fontId="12" numFmtId="0" xfId="0" applyAlignment="1" applyFont="1">
      <alignment readingOrder="0" shrinkToFit="0" vertical="bottom" wrapText="1"/>
    </xf>
    <xf borderId="0" fillId="16" fontId="42" numFmtId="0" xfId="0" applyAlignment="1" applyFont="1">
      <alignment horizontal="center" readingOrder="0"/>
    </xf>
    <xf borderId="0" fillId="16" fontId="92" numFmtId="0" xfId="0" applyAlignment="1" applyFont="1">
      <alignment readingOrder="0" vertical="bottom"/>
    </xf>
    <xf borderId="0" fillId="16" fontId="12" numFmtId="0" xfId="0" applyAlignment="1" applyFont="1">
      <alignment horizontal="center" vertical="bottom"/>
    </xf>
    <xf borderId="0" fillId="13" fontId="12" numFmtId="0" xfId="0" applyAlignment="1" applyFont="1">
      <alignment horizontal="center" vertical="bottom"/>
    </xf>
    <xf borderId="0" fillId="14" fontId="12" numFmtId="0" xfId="0" applyAlignment="1" applyFont="1">
      <alignment horizontal="center"/>
    </xf>
    <xf borderId="0" fillId="8" fontId="12" numFmtId="0" xfId="0" applyAlignment="1" applyFont="1">
      <alignment readingOrder="0" shrinkToFit="0" vertical="bottom" wrapText="0"/>
    </xf>
    <xf borderId="0" fillId="4" fontId="12" numFmtId="0" xfId="0" applyAlignment="1" applyFont="1">
      <alignment shrinkToFit="0" vertical="bottom" wrapText="0"/>
    </xf>
    <xf borderId="0" fillId="16" fontId="12" numFmtId="0" xfId="0" applyAlignment="1" applyFont="1">
      <alignment horizontal="center" readingOrder="0"/>
    </xf>
    <xf borderId="0" fillId="4" fontId="12" numFmtId="0" xfId="0" applyAlignment="1" applyFont="1">
      <alignment horizontal="right" readingOrder="0" shrinkToFit="0" vertical="bottom" wrapText="1"/>
    </xf>
    <xf borderId="0" fillId="6" fontId="40" numFmtId="0" xfId="0" applyAlignment="1" applyFont="1">
      <alignment readingOrder="0" shrinkToFit="0" vertical="bottom" wrapText="1"/>
    </xf>
    <xf borderId="0" fillId="10" fontId="12" numFmtId="0" xfId="0" applyAlignment="1" applyFont="1">
      <alignment readingOrder="0" shrinkToFit="0" vertical="bottom" wrapText="1"/>
    </xf>
    <xf borderId="0" fillId="6" fontId="40" numFmtId="0" xfId="0" applyAlignment="1" applyFont="1">
      <alignment shrinkToFit="0" vertical="bottom" wrapText="1"/>
    </xf>
    <xf borderId="0" fillId="4" fontId="12" numFmtId="0" xfId="0" applyAlignment="1" applyFont="1">
      <alignment horizontal="right" readingOrder="0" vertical="center"/>
    </xf>
    <xf borderId="0" fillId="6" fontId="40" numFmtId="0" xfId="0" applyAlignment="1" applyFont="1">
      <alignment horizontal="left" readingOrder="0" vertical="center"/>
    </xf>
    <xf borderId="0" fillId="10" fontId="12" numFmtId="0" xfId="0" applyAlignment="1" applyFont="1">
      <alignment horizontal="left" readingOrder="0" vertical="center"/>
    </xf>
    <xf borderId="0" fillId="6" fontId="12" numFmtId="0" xfId="0" applyAlignment="1" applyFont="1">
      <alignment readingOrder="0" shrinkToFit="0" vertical="bottom" wrapText="1"/>
    </xf>
    <xf borderId="0" fillId="4" fontId="23" numFmtId="0" xfId="0" applyAlignment="1" applyFont="1">
      <alignment horizontal="left" readingOrder="0" vertical="center"/>
    </xf>
    <xf borderId="0" fillId="4" fontId="23" numFmtId="0" xfId="0" applyAlignment="1" applyFont="1">
      <alignment horizontal="right" readingOrder="0" vertical="center"/>
    </xf>
    <xf borderId="0" fillId="6" fontId="23" numFmtId="0" xfId="0" applyAlignment="1" applyFont="1">
      <alignment horizontal="left" readingOrder="0" vertical="center"/>
    </xf>
    <xf borderId="0" fillId="10" fontId="23" numFmtId="0" xfId="0" applyAlignment="1" applyFont="1">
      <alignment horizontal="left" readingOrder="0" vertical="center"/>
    </xf>
    <xf borderId="0" fillId="6" fontId="12" numFmtId="0" xfId="0" applyAlignment="1" applyFont="1">
      <alignment shrinkToFit="0" vertical="bottom" wrapText="1"/>
    </xf>
    <xf borderId="0" fillId="10" fontId="12" numFmtId="0" xfId="0" applyAlignment="1" applyFont="1">
      <alignment shrinkToFit="0" vertical="bottom" wrapText="1"/>
    </xf>
    <xf borderId="0" fillId="15" fontId="93" numFmtId="0" xfId="0" applyAlignment="1" applyFont="1">
      <alignment horizontal="center" readingOrder="0" vertical="center"/>
    </xf>
    <xf borderId="0" fillId="4" fontId="23" numFmtId="0" xfId="0" applyAlignment="1" applyFont="1">
      <alignment horizontal="center" readingOrder="0" shrinkToFit="0" vertical="bottom" wrapText="1"/>
    </xf>
    <xf borderId="0" fillId="4" fontId="23" numFmtId="0" xfId="0" applyAlignment="1" applyFont="1">
      <alignment readingOrder="0" shrinkToFit="0" vertical="bottom" wrapText="1"/>
    </xf>
    <xf borderId="0" fillId="4" fontId="89" numFmtId="0" xfId="0" applyAlignment="1" applyFont="1">
      <alignment readingOrder="0" shrinkToFit="0" vertical="bottom" wrapText="1"/>
    </xf>
    <xf borderId="0" fillId="4" fontId="40" numFmtId="0" xfId="0" applyAlignment="1" applyFont="1">
      <alignment horizontal="left" readingOrder="0" vertical="center"/>
    </xf>
    <xf borderId="13" fillId="8" fontId="43" numFmtId="0" xfId="0" applyAlignment="1" applyBorder="1" applyFont="1">
      <alignment horizontal="center" readingOrder="0" vertical="center"/>
    </xf>
    <xf borderId="3" fillId="8" fontId="43" numFmtId="0" xfId="0" applyAlignment="1" applyBorder="1" applyFont="1">
      <alignment horizontal="left" readingOrder="0" vertical="center"/>
    </xf>
    <xf borderId="0" fillId="20" fontId="43" numFmtId="0" xfId="0" applyAlignment="1" applyFill="1" applyFont="1">
      <alignment horizontal="left" readingOrder="0" vertical="center"/>
    </xf>
    <xf borderId="3" fillId="20" fontId="43" numFmtId="0" xfId="0" applyAlignment="1" applyBorder="1" applyFont="1">
      <alignment horizontal="left" readingOrder="0" vertical="center"/>
    </xf>
    <xf borderId="0" fillId="8" fontId="12" numFmtId="0" xfId="0" applyAlignment="1" applyFont="1">
      <alignment horizontal="center" readingOrder="0"/>
    </xf>
    <xf borderId="14" fillId="8" fontId="43" numFmtId="0" xfId="0" applyAlignment="1" applyBorder="1" applyFont="1">
      <alignment horizontal="center" readingOrder="0" vertical="center"/>
    </xf>
    <xf borderId="4" fillId="8" fontId="43" numFmtId="0" xfId="0" applyAlignment="1" applyBorder="1" applyFont="1">
      <alignment horizontal="left" readingOrder="0" vertical="center"/>
    </xf>
    <xf borderId="4" fillId="20" fontId="43" numFmtId="0" xfId="0" applyAlignment="1" applyBorder="1" applyFont="1">
      <alignment horizontal="left" readingOrder="0" vertical="center"/>
    </xf>
    <xf borderId="0" fillId="4" fontId="40" numFmtId="0" xfId="0" applyAlignment="1" applyFont="1">
      <alignment horizontal="center" readingOrder="0" shrinkToFit="0" vertical="bottom" wrapText="1"/>
    </xf>
    <xf borderId="14" fillId="8" fontId="43" numFmtId="0" xfId="0" applyAlignment="1" applyBorder="1" applyFont="1">
      <alignment horizontal="center" readingOrder="0" shrinkToFit="0" vertical="bottom" wrapText="1"/>
    </xf>
    <xf borderId="4" fillId="8" fontId="2" numFmtId="0" xfId="0" applyAlignment="1" applyBorder="1" applyFont="1">
      <alignment readingOrder="0" shrinkToFit="0" vertical="bottom" wrapText="1"/>
    </xf>
    <xf borderId="0" fillId="10" fontId="3" numFmtId="0" xfId="0" applyAlignment="1" applyFont="1">
      <alignment horizontal="left" readingOrder="0"/>
    </xf>
    <xf borderId="0" fillId="4" fontId="40" numFmtId="0" xfId="0" applyAlignment="1" applyFont="1">
      <alignment horizontal="center" readingOrder="0" shrinkToFit="0" vertical="center" wrapText="1"/>
    </xf>
    <xf borderId="0" fillId="4" fontId="40" numFmtId="0" xfId="0" applyAlignment="1" applyFont="1">
      <alignment readingOrder="0" shrinkToFit="0" vertical="center" wrapText="1"/>
    </xf>
    <xf borderId="14" fillId="8" fontId="43" numFmtId="0" xfId="0" applyAlignment="1" applyBorder="1" applyFont="1">
      <alignment horizontal="center" readingOrder="0" shrinkToFit="0" vertical="center" wrapText="1"/>
    </xf>
    <xf borderId="14" fillId="8" fontId="3" numFmtId="0" xfId="0" applyAlignment="1" applyBorder="1" applyFont="1">
      <alignment horizontal="center" readingOrder="0"/>
    </xf>
    <xf borderId="0" fillId="20" fontId="3" numFmtId="0" xfId="0" applyAlignment="1" applyFont="1">
      <alignment horizontal="left" readingOrder="0"/>
    </xf>
    <xf borderId="0" fillId="20" fontId="2" numFmtId="0" xfId="0" applyAlignment="1" applyFont="1">
      <alignment readingOrder="0" shrinkToFit="0" vertical="bottom" wrapText="1"/>
    </xf>
    <xf borderId="0" fillId="20" fontId="43" numFmtId="0" xfId="0" applyAlignment="1" applyFont="1">
      <alignment readingOrder="0" shrinkToFit="0" vertical="bottom" wrapText="1"/>
    </xf>
    <xf borderId="0" fillId="18" fontId="12" numFmtId="0" xfId="0" applyAlignment="1" applyFont="1">
      <alignment horizontal="center" readingOrder="0"/>
    </xf>
    <xf borderId="15" fillId="8" fontId="43" numFmtId="0" xfId="0" applyAlignment="1" applyBorder="1" applyFont="1">
      <alignment horizontal="center" readingOrder="0" vertical="center"/>
    </xf>
    <xf borderId="5" fillId="20" fontId="43" numFmtId="0" xfId="0" applyAlignment="1" applyBorder="1" applyFont="1">
      <alignment horizontal="left" readingOrder="0" vertical="center"/>
    </xf>
    <xf borderId="0" fillId="16" fontId="23" numFmtId="0" xfId="0" applyAlignment="1" applyFont="1">
      <alignment readingOrder="0"/>
    </xf>
    <xf borderId="0" fillId="16" fontId="12" numFmtId="0" xfId="0" applyAlignment="1" applyFont="1">
      <alignment horizontal="center" readingOrder="0" vertical="bottom"/>
    </xf>
    <xf borderId="0" fillId="4" fontId="40" numFmtId="0" xfId="0" applyAlignment="1" applyFont="1">
      <alignment shrinkToFit="0" vertical="bottom" wrapText="1"/>
    </xf>
    <xf borderId="0" fillId="16" fontId="94" numFmtId="0" xfId="0" applyAlignment="1" applyFont="1">
      <alignment horizontal="center" readingOrder="0"/>
    </xf>
    <xf borderId="0" fillId="13" fontId="12" numFmtId="0" xfId="0" applyAlignment="1" applyFont="1">
      <alignment readingOrder="0"/>
    </xf>
    <xf borderId="0" fillId="4" fontId="88" numFmtId="0" xfId="0" applyAlignment="1" applyFont="1">
      <alignment horizontal="center" readingOrder="0"/>
    </xf>
    <xf borderId="0" fillId="4" fontId="23" numFmtId="0" xfId="0" applyAlignment="1" applyFont="1">
      <alignment horizontal="left" readingOrder="0" shrinkToFit="0" vertical="center" wrapText="1"/>
    </xf>
    <xf borderId="0" fillId="4" fontId="23" numFmtId="0" xfId="0" applyAlignment="1" applyFont="1">
      <alignment horizontal="right" readingOrder="0" shrinkToFit="0" vertical="center" wrapText="1"/>
    </xf>
    <xf borderId="0" fillId="4" fontId="23" numFmtId="0" xfId="0" applyAlignment="1" applyFont="1">
      <alignment shrinkToFit="0" vertical="bottom" wrapText="1"/>
    </xf>
    <xf borderId="0" fillId="4" fontId="23" numFmtId="0" xfId="0" applyAlignment="1" applyFont="1">
      <alignment readingOrder="0" shrinkToFit="0" vertical="center" wrapText="1"/>
    </xf>
    <xf borderId="0" fillId="4" fontId="45" numFmtId="0" xfId="0" applyAlignment="1" applyFont="1">
      <alignment horizontal="center" readingOrder="0" vertical="bottom"/>
    </xf>
    <xf borderId="0" fillId="4" fontId="43" numFmtId="0" xfId="0" applyAlignment="1" applyFont="1">
      <alignment horizontal="center" readingOrder="0"/>
    </xf>
    <xf borderId="0" fillId="18" fontId="12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Campu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46" displayName="Table_1" name="Table_1" id="1">
  <tableColumns count="8">
    <tableColumn name="ORG" id="1"/>
    <tableColumn name="Campus Name" id="2"/>
    <tableColumn name="Shared with ED/Principal" id="3"/>
    <tableColumn name="ED/Principal Completed Programs of Study Update" id="4"/>
    <tableColumn name="Updated Review of Students" id="5"/>
    <tableColumn name="Notes for Campus" id="6"/>
    <tableColumn name="CTE Reviewed / Added IBCs" id="7"/>
    <tableColumn name="Person doing Aug Review - GREEN WHEN DONE" id="8"/>
  </tableColumns>
  <tableStyleInfo name="Campu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hyperlink" Target="https://dallasisd.powerschool.com/admin/courses/display.html?course_number=7997&amp;urllrn=00521800397&amp;pageContext=teachersched" TargetMode="External"/><Relationship Id="rId5" Type="http://schemas.openxmlformats.org/officeDocument/2006/relationships/hyperlink" Target="https://dallasisd.powerschool.com/admin/courses/display.html?course_number=7924&amp;urllrn=00521800397&amp;pageContext=teachersched" TargetMode="External"/><Relationship Id="rId6" Type="http://schemas.openxmlformats.org/officeDocument/2006/relationships/hyperlink" Target="https://dallasisd.powerschool.com/admin/courses/display.html?course_number=7339&amp;urllrn=005302179&amp;pageContext=teachersched" TargetMode="External"/><Relationship Id="rId7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LsoLJwXSnuEzR4iaZtbup664YOB_PQaJV8iqvYC6fs/edit?usp=sharing" TargetMode="External"/><Relationship Id="rId2" Type="http://schemas.openxmlformats.org/officeDocument/2006/relationships/hyperlink" Target="https://tea.texas.gov/academics/college-career-and-military-prep/career-and-technical-education/industry-based-certifications" TargetMode="External"/><Relationship Id="rId3" Type="http://schemas.openxmlformats.org/officeDocument/2006/relationships/hyperlink" Target="https://tea.texas.gov/academics/college-career-and-military-prep/career-and-technical-education/cte-teks" TargetMode="External"/><Relationship Id="rId4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6.5"/>
    <col customWidth="1" min="3" max="5" width="11.63"/>
    <col customWidth="1" min="6" max="6" width="59.5"/>
    <col customWidth="1" hidden="1" min="7" max="8" width="11.63"/>
  </cols>
  <sheetData>
    <row r="1" ht="9.0" customHeight="1">
      <c r="A1" s="4" t="s">
        <v>3</v>
      </c>
      <c r="F1" s="6"/>
    </row>
    <row r="2" ht="47.25" customHeight="1">
      <c r="A2" s="7" t="s">
        <v>7</v>
      </c>
      <c r="H2" s="8"/>
    </row>
    <row r="3" ht="61.5" customHeight="1">
      <c r="A3" s="9" t="s">
        <v>9</v>
      </c>
      <c r="B3" s="10" t="s">
        <v>10</v>
      </c>
      <c r="C3" s="11" t="s">
        <v>11</v>
      </c>
      <c r="D3" s="12" t="s">
        <v>12</v>
      </c>
      <c r="E3" s="14" t="s">
        <v>13</v>
      </c>
      <c r="F3" s="15" t="s">
        <v>16</v>
      </c>
      <c r="G3" s="16"/>
      <c r="H3" s="16"/>
    </row>
    <row r="4" ht="61.5" customHeight="1">
      <c r="A4" s="17" t="s">
        <v>24</v>
      </c>
      <c r="B4" s="17" t="s">
        <v>25</v>
      </c>
      <c r="C4" s="16" t="s">
        <v>27</v>
      </c>
      <c r="D4" s="16" t="s">
        <v>29</v>
      </c>
      <c r="E4" s="16" t="s">
        <v>31</v>
      </c>
      <c r="F4" s="16" t="s">
        <v>32</v>
      </c>
      <c r="G4" s="16" t="s">
        <v>33</v>
      </c>
      <c r="H4" s="16" t="s">
        <v>35</v>
      </c>
    </row>
    <row r="5">
      <c r="A5" s="21">
        <v>1.0</v>
      </c>
      <c r="B5" s="35" t="s">
        <v>5</v>
      </c>
      <c r="C5" s="36" t="b">
        <v>0</v>
      </c>
      <c r="D5" s="36" t="b">
        <v>0</v>
      </c>
      <c r="E5" s="36" t="b">
        <v>0</v>
      </c>
      <c r="F5" s="39" t="s">
        <v>59</v>
      </c>
      <c r="G5" s="36" t="b">
        <v>1</v>
      </c>
      <c r="H5" s="43" t="s">
        <v>66</v>
      </c>
    </row>
    <row r="6">
      <c r="A6" s="44">
        <v>2.0</v>
      </c>
      <c r="B6" s="48" t="s">
        <v>4</v>
      </c>
      <c r="C6" s="36" t="b">
        <v>0</v>
      </c>
      <c r="D6" s="36" t="b">
        <v>0</v>
      </c>
      <c r="E6" s="36" t="b">
        <v>0</v>
      </c>
      <c r="F6" s="39" t="s">
        <v>85</v>
      </c>
      <c r="G6" s="36" t="b">
        <v>1</v>
      </c>
      <c r="H6" s="43" t="s">
        <v>91</v>
      </c>
    </row>
    <row r="7">
      <c r="A7" s="21">
        <v>3.0</v>
      </c>
      <c r="B7" s="50" t="s">
        <v>8</v>
      </c>
      <c r="C7" s="36" t="b">
        <v>0</v>
      </c>
      <c r="D7" s="36" t="b">
        <v>0</v>
      </c>
      <c r="E7" s="36" t="b">
        <v>0</v>
      </c>
      <c r="F7" s="39" t="s">
        <v>100</v>
      </c>
      <c r="G7" s="36" t="b">
        <v>1</v>
      </c>
      <c r="H7" s="43" t="s">
        <v>66</v>
      </c>
    </row>
    <row r="8">
      <c r="A8" s="44">
        <v>5.0</v>
      </c>
      <c r="B8" s="48" t="s">
        <v>103</v>
      </c>
      <c r="C8" s="36" t="b">
        <v>0</v>
      </c>
      <c r="D8" s="36" t="b">
        <v>0</v>
      </c>
      <c r="E8" s="36" t="b">
        <v>0</v>
      </c>
      <c r="F8" s="39" t="s">
        <v>105</v>
      </c>
      <c r="G8" s="36" t="b">
        <v>1</v>
      </c>
      <c r="H8" s="43" t="s">
        <v>91</v>
      </c>
    </row>
    <row r="9">
      <c r="A9" s="21">
        <v>6.0</v>
      </c>
      <c r="B9" s="50" t="s">
        <v>107</v>
      </c>
      <c r="C9" s="36" t="b">
        <v>0</v>
      </c>
      <c r="D9" s="36" t="b">
        <v>0</v>
      </c>
      <c r="E9" s="36" t="b">
        <v>0</v>
      </c>
      <c r="F9" s="39" t="s">
        <v>100</v>
      </c>
      <c r="G9" s="36" t="b">
        <v>1</v>
      </c>
      <c r="H9" s="43" t="s">
        <v>91</v>
      </c>
    </row>
    <row r="10">
      <c r="A10" s="44">
        <v>7.0</v>
      </c>
      <c r="B10" s="48" t="s">
        <v>110</v>
      </c>
      <c r="C10" s="36" t="b">
        <v>0</v>
      </c>
      <c r="D10" s="36" t="b">
        <v>0</v>
      </c>
      <c r="E10" s="36" t="b">
        <v>0</v>
      </c>
      <c r="F10" s="39" t="s">
        <v>114</v>
      </c>
      <c r="G10" s="36" t="b">
        <v>1</v>
      </c>
      <c r="H10" s="43" t="s">
        <v>115</v>
      </c>
    </row>
    <row r="11">
      <c r="A11" s="21">
        <v>8.0</v>
      </c>
      <c r="B11" s="50" t="s">
        <v>118</v>
      </c>
      <c r="C11" s="36" t="b">
        <v>0</v>
      </c>
      <c r="D11" s="36" t="b">
        <v>0</v>
      </c>
      <c r="E11" s="36" t="b">
        <v>0</v>
      </c>
      <c r="F11" s="57" t="s">
        <v>121</v>
      </c>
      <c r="G11" s="36" t="b">
        <v>1</v>
      </c>
      <c r="H11" s="43" t="s">
        <v>115</v>
      </c>
    </row>
    <row r="12">
      <c r="A12" s="44">
        <v>9.0</v>
      </c>
      <c r="B12" s="48" t="s">
        <v>124</v>
      </c>
      <c r="C12" s="36" t="b">
        <v>0</v>
      </c>
      <c r="D12" s="36" t="b">
        <v>0</v>
      </c>
      <c r="E12" s="36" t="b">
        <v>0</v>
      </c>
      <c r="F12" s="39" t="s">
        <v>128</v>
      </c>
      <c r="G12" s="36" t="b">
        <v>1</v>
      </c>
      <c r="H12" s="43" t="s">
        <v>66</v>
      </c>
    </row>
    <row r="13">
      <c r="A13" s="21">
        <v>12.0</v>
      </c>
      <c r="B13" s="50" t="s">
        <v>134</v>
      </c>
      <c r="C13" s="36" t="b">
        <v>1</v>
      </c>
      <c r="D13" s="36" t="b">
        <v>0</v>
      </c>
      <c r="E13" s="36" t="b">
        <v>0</v>
      </c>
      <c r="F13" s="39" t="s">
        <v>139</v>
      </c>
      <c r="G13" s="36" t="b">
        <v>1</v>
      </c>
      <c r="H13" s="43" t="s">
        <v>141</v>
      </c>
    </row>
    <row r="14">
      <c r="A14" s="44">
        <v>13.0</v>
      </c>
      <c r="B14" s="48" t="s">
        <v>143</v>
      </c>
      <c r="C14" s="36" t="b">
        <v>0</v>
      </c>
      <c r="D14" s="36" t="b">
        <v>0</v>
      </c>
      <c r="E14" s="36" t="b">
        <v>0</v>
      </c>
      <c r="F14" s="57" t="s">
        <v>148</v>
      </c>
      <c r="G14" s="36" t="b">
        <v>1</v>
      </c>
      <c r="H14" s="43" t="s">
        <v>141</v>
      </c>
    </row>
    <row r="15">
      <c r="A15" s="21">
        <v>14.0</v>
      </c>
      <c r="B15" s="50" t="s">
        <v>149</v>
      </c>
      <c r="C15" s="36" t="b">
        <v>0</v>
      </c>
      <c r="D15" s="36" t="b">
        <v>0</v>
      </c>
      <c r="E15" s="36" t="b">
        <v>0</v>
      </c>
      <c r="F15" s="62" t="s">
        <v>150</v>
      </c>
      <c r="G15" s="36" t="b">
        <v>1</v>
      </c>
      <c r="H15" s="43" t="s">
        <v>141</v>
      </c>
    </row>
    <row r="16">
      <c r="A16" s="44">
        <v>15.0</v>
      </c>
      <c r="B16" s="48" t="s">
        <v>154</v>
      </c>
      <c r="C16" s="36" t="b">
        <v>0</v>
      </c>
      <c r="D16" s="36" t="b">
        <v>0</v>
      </c>
      <c r="E16" s="36" t="b">
        <v>0</v>
      </c>
      <c r="F16" s="39" t="s">
        <v>156</v>
      </c>
      <c r="G16" s="36" t="b">
        <v>1</v>
      </c>
      <c r="H16" s="43" t="s">
        <v>158</v>
      </c>
    </row>
    <row r="17">
      <c r="A17" s="21">
        <v>16.0</v>
      </c>
      <c r="B17" s="50" t="s">
        <v>161</v>
      </c>
      <c r="C17" s="36" t="b">
        <v>0</v>
      </c>
      <c r="D17" s="36" t="b">
        <v>0</v>
      </c>
      <c r="E17" s="36" t="b">
        <v>0</v>
      </c>
      <c r="F17" s="57" t="s">
        <v>164</v>
      </c>
      <c r="G17" s="36" t="b">
        <v>1</v>
      </c>
      <c r="H17" s="43" t="s">
        <v>158</v>
      </c>
    </row>
    <row r="18">
      <c r="A18" s="44">
        <v>17.0</v>
      </c>
      <c r="B18" s="48" t="s">
        <v>167</v>
      </c>
      <c r="C18" s="36" t="b">
        <v>0</v>
      </c>
      <c r="D18" s="36" t="b">
        <v>0</v>
      </c>
      <c r="E18" s="36" t="b">
        <v>0</v>
      </c>
      <c r="F18" s="65" t="s">
        <v>171</v>
      </c>
      <c r="G18" s="36" t="b">
        <v>1</v>
      </c>
      <c r="H18" s="43" t="s">
        <v>66</v>
      </c>
    </row>
    <row r="19">
      <c r="A19" s="21">
        <v>18.0</v>
      </c>
      <c r="B19" s="50" t="s">
        <v>174</v>
      </c>
      <c r="C19" s="36" t="b">
        <v>0</v>
      </c>
      <c r="D19" s="36" t="b">
        <v>0</v>
      </c>
      <c r="E19" s="36" t="b">
        <v>0</v>
      </c>
      <c r="F19" s="57" t="s">
        <v>121</v>
      </c>
      <c r="G19" s="36" t="b">
        <v>1</v>
      </c>
      <c r="H19" s="43" t="s">
        <v>66</v>
      </c>
    </row>
    <row r="20">
      <c r="A20" s="44">
        <v>21.0</v>
      </c>
      <c r="B20" s="48" t="s">
        <v>178</v>
      </c>
      <c r="C20" s="36" t="b">
        <v>0</v>
      </c>
      <c r="D20" s="36" t="b">
        <v>0</v>
      </c>
      <c r="E20" s="36" t="b">
        <v>0</v>
      </c>
      <c r="F20" s="39" t="s">
        <v>181</v>
      </c>
      <c r="G20" s="36" t="b">
        <v>1</v>
      </c>
      <c r="H20" s="43" t="s">
        <v>184</v>
      </c>
    </row>
    <row r="21">
      <c r="A21" s="21">
        <v>22.0</v>
      </c>
      <c r="B21" s="50" t="s">
        <v>187</v>
      </c>
      <c r="C21" s="36" t="b">
        <v>0</v>
      </c>
      <c r="D21" s="36" t="b">
        <v>0</v>
      </c>
      <c r="E21" s="36" t="b">
        <v>0</v>
      </c>
      <c r="F21" s="39" t="s">
        <v>190</v>
      </c>
      <c r="G21" s="36" t="b">
        <v>1</v>
      </c>
      <c r="H21" s="43" t="s">
        <v>191</v>
      </c>
    </row>
    <row r="22">
      <c r="A22" s="44">
        <v>23.0</v>
      </c>
      <c r="B22" s="68" t="s">
        <v>193</v>
      </c>
      <c r="C22" s="36" t="b">
        <v>0</v>
      </c>
      <c r="D22" s="36" t="b">
        <v>0</v>
      </c>
      <c r="E22" s="36" t="b">
        <v>0</v>
      </c>
      <c r="F22" s="6"/>
      <c r="G22" s="36" t="b">
        <v>1</v>
      </c>
      <c r="H22" s="43" t="s">
        <v>191</v>
      </c>
    </row>
    <row r="23">
      <c r="A23" s="21">
        <v>24.0</v>
      </c>
      <c r="B23" s="50" t="s">
        <v>198</v>
      </c>
      <c r="C23" s="36" t="b">
        <v>0</v>
      </c>
      <c r="D23" s="36" t="b">
        <v>0</v>
      </c>
      <c r="E23" s="36" t="b">
        <v>0</v>
      </c>
      <c r="F23" s="6"/>
      <c r="G23" s="36" t="b">
        <v>1</v>
      </c>
      <c r="H23" s="43" t="s">
        <v>191</v>
      </c>
    </row>
    <row r="24">
      <c r="A24" s="44">
        <v>25.0</v>
      </c>
      <c r="B24" s="48" t="s">
        <v>202</v>
      </c>
      <c r="C24" s="36" t="b">
        <v>0</v>
      </c>
      <c r="D24" s="36" t="b">
        <v>0</v>
      </c>
      <c r="E24" s="36" t="b">
        <v>0</v>
      </c>
      <c r="F24" s="39" t="s">
        <v>206</v>
      </c>
      <c r="G24" s="36" t="b">
        <v>1</v>
      </c>
      <c r="H24" s="43" t="s">
        <v>66</v>
      </c>
    </row>
    <row r="25">
      <c r="A25" s="21">
        <v>26.0</v>
      </c>
      <c r="B25" s="50" t="s">
        <v>210</v>
      </c>
      <c r="C25" s="36" t="b">
        <v>0</v>
      </c>
      <c r="D25" s="36" t="b">
        <v>0</v>
      </c>
      <c r="E25" s="36" t="b">
        <v>0</v>
      </c>
      <c r="F25" s="39" t="s">
        <v>212</v>
      </c>
      <c r="G25" s="36" t="b">
        <v>1</v>
      </c>
      <c r="H25" s="43" t="s">
        <v>191</v>
      </c>
    </row>
    <row r="26">
      <c r="A26" s="44">
        <v>28.0</v>
      </c>
      <c r="B26" s="48" t="s">
        <v>214</v>
      </c>
      <c r="C26" s="36" t="b">
        <v>0</v>
      </c>
      <c r="D26" s="36" t="b">
        <v>0</v>
      </c>
      <c r="E26" s="36" t="b">
        <v>0</v>
      </c>
      <c r="F26" s="39"/>
      <c r="G26" s="36" t="b">
        <v>1</v>
      </c>
      <c r="H26" s="43" t="s">
        <v>184</v>
      </c>
    </row>
    <row r="27">
      <c r="A27" s="71">
        <v>32.0</v>
      </c>
      <c r="B27" s="50" t="s">
        <v>217</v>
      </c>
      <c r="C27" s="36" t="b">
        <v>0</v>
      </c>
      <c r="D27" s="36" t="b">
        <v>0</v>
      </c>
      <c r="E27" s="36" t="b">
        <v>0</v>
      </c>
      <c r="F27" s="57" t="s">
        <v>218</v>
      </c>
      <c r="G27" s="36" t="b">
        <v>1</v>
      </c>
      <c r="H27" s="43" t="s">
        <v>220</v>
      </c>
    </row>
    <row r="28">
      <c r="A28" s="44">
        <v>33.0</v>
      </c>
      <c r="B28" s="48" t="s">
        <v>222</v>
      </c>
      <c r="C28" s="36" t="b">
        <v>0</v>
      </c>
      <c r="D28" s="36" t="b">
        <v>0</v>
      </c>
      <c r="E28" s="36" t="b">
        <v>0</v>
      </c>
      <c r="F28" s="39" t="s">
        <v>224</v>
      </c>
      <c r="G28" s="36" t="b">
        <v>1</v>
      </c>
      <c r="H28" s="43" t="s">
        <v>220</v>
      </c>
    </row>
    <row r="29">
      <c r="A29" s="21">
        <v>34.0</v>
      </c>
      <c r="B29" s="50" t="s">
        <v>226</v>
      </c>
      <c r="C29" s="36" t="b">
        <v>0</v>
      </c>
      <c r="D29" s="36" t="b">
        <v>0</v>
      </c>
      <c r="E29" s="36" t="b">
        <v>0</v>
      </c>
      <c r="F29" s="6"/>
      <c r="G29" s="36" t="b">
        <v>1</v>
      </c>
      <c r="H29" s="43" t="s">
        <v>66</v>
      </c>
    </row>
    <row r="30">
      <c r="A30" s="44">
        <v>35.0</v>
      </c>
      <c r="B30" s="48" t="s">
        <v>232</v>
      </c>
      <c r="C30" s="36" t="b">
        <v>0</v>
      </c>
      <c r="D30" s="36" t="b">
        <v>0</v>
      </c>
      <c r="E30" s="36" t="b">
        <v>0</v>
      </c>
      <c r="F30" s="6"/>
      <c r="G30" s="36" t="b">
        <v>1</v>
      </c>
      <c r="H30" s="43" t="s">
        <v>220</v>
      </c>
    </row>
    <row r="31">
      <c r="A31" s="21">
        <v>36.0</v>
      </c>
      <c r="B31" s="50" t="s">
        <v>238</v>
      </c>
      <c r="C31" s="36" t="b">
        <v>0</v>
      </c>
      <c r="D31" s="36" t="b">
        <v>0</v>
      </c>
      <c r="E31" s="36" t="b">
        <v>0</v>
      </c>
      <c r="F31" s="6"/>
      <c r="G31" s="36" t="b">
        <v>1</v>
      </c>
      <c r="H31" s="43" t="s">
        <v>220</v>
      </c>
    </row>
    <row r="32">
      <c r="A32" s="44">
        <v>37.0</v>
      </c>
      <c r="B32" s="48" t="s">
        <v>241</v>
      </c>
      <c r="C32" s="36" t="b">
        <v>0</v>
      </c>
      <c r="D32" s="36" t="b">
        <v>0</v>
      </c>
      <c r="E32" s="36" t="b">
        <v>0</v>
      </c>
      <c r="F32" s="6"/>
      <c r="G32" s="36" t="b">
        <v>1</v>
      </c>
      <c r="H32" s="43" t="s">
        <v>66</v>
      </c>
    </row>
    <row r="33">
      <c r="A33" s="21">
        <v>38.0</v>
      </c>
      <c r="B33" s="50" t="s">
        <v>244</v>
      </c>
      <c r="C33" s="36" t="b">
        <v>0</v>
      </c>
      <c r="D33" s="36" t="b">
        <v>0</v>
      </c>
      <c r="E33" s="36" t="b">
        <v>0</v>
      </c>
      <c r="F33" s="6"/>
      <c r="G33" s="36" t="b">
        <v>1</v>
      </c>
      <c r="H33" s="43" t="s">
        <v>66</v>
      </c>
    </row>
    <row r="34">
      <c r="A34" s="44">
        <v>39.0</v>
      </c>
      <c r="B34" s="48" t="s">
        <v>247</v>
      </c>
      <c r="C34" s="36" t="b">
        <v>0</v>
      </c>
      <c r="D34" s="36" t="b">
        <v>0</v>
      </c>
      <c r="E34" s="36" t="b">
        <v>0</v>
      </c>
      <c r="F34" s="39"/>
      <c r="G34" s="36" t="b">
        <v>1</v>
      </c>
      <c r="H34" s="43" t="s">
        <v>248</v>
      </c>
    </row>
    <row r="35" hidden="1">
      <c r="A35" s="21">
        <v>85.0</v>
      </c>
      <c r="B35" s="50" t="s">
        <v>249</v>
      </c>
      <c r="C35" s="36" t="b">
        <v>0</v>
      </c>
      <c r="D35" s="78" t="b">
        <v>0</v>
      </c>
      <c r="E35" s="78" t="b">
        <v>0</v>
      </c>
      <c r="F35" s="6"/>
      <c r="G35" s="36" t="b">
        <v>1</v>
      </c>
      <c r="H35" s="36" t="s">
        <v>248</v>
      </c>
    </row>
    <row r="36" hidden="1">
      <c r="A36" s="44">
        <v>88.0</v>
      </c>
      <c r="B36" s="48" t="s">
        <v>252</v>
      </c>
      <c r="C36" s="36" t="b">
        <v>0</v>
      </c>
      <c r="D36" s="78" t="b">
        <v>0</v>
      </c>
      <c r="E36" s="78" t="b">
        <v>0</v>
      </c>
      <c r="F36" s="6"/>
      <c r="G36" s="36" t="b">
        <v>1</v>
      </c>
      <c r="H36" s="36" t="s">
        <v>248</v>
      </c>
    </row>
    <row r="37" hidden="1">
      <c r="A37" s="21">
        <v>90.0</v>
      </c>
      <c r="B37" s="50" t="s">
        <v>258</v>
      </c>
      <c r="C37" s="36" t="b">
        <v>0</v>
      </c>
      <c r="D37" s="78" t="b">
        <v>0</v>
      </c>
      <c r="E37" s="78" t="b">
        <v>0</v>
      </c>
      <c r="F37" s="6"/>
      <c r="G37" s="36" t="b">
        <v>1</v>
      </c>
      <c r="H37" s="36" t="s">
        <v>248</v>
      </c>
    </row>
    <row r="38">
      <c r="A38" s="44">
        <v>380.0</v>
      </c>
      <c r="B38" s="48" t="s">
        <v>266</v>
      </c>
      <c r="C38" s="36" t="b">
        <v>0</v>
      </c>
      <c r="D38" s="36" t="b">
        <v>0</v>
      </c>
      <c r="E38" s="36" t="b">
        <v>0</v>
      </c>
      <c r="F38" s="39" t="s">
        <v>269</v>
      </c>
      <c r="G38" s="36" t="b">
        <v>1</v>
      </c>
      <c r="H38" s="36" t="s">
        <v>248</v>
      </c>
    </row>
    <row r="39">
      <c r="A39" s="21">
        <v>381.0</v>
      </c>
      <c r="B39" s="50" t="s">
        <v>274</v>
      </c>
      <c r="C39" s="36" t="b">
        <v>0</v>
      </c>
      <c r="D39" s="36" t="b">
        <v>0</v>
      </c>
      <c r="E39" s="36" t="b">
        <v>0</v>
      </c>
      <c r="F39" s="39" t="s">
        <v>275</v>
      </c>
      <c r="G39" s="36" t="b">
        <v>1</v>
      </c>
      <c r="H39" s="43" t="s">
        <v>248</v>
      </c>
    </row>
    <row r="40">
      <c r="A40" s="44">
        <v>382.0</v>
      </c>
      <c r="B40" s="48" t="s">
        <v>276</v>
      </c>
      <c r="C40" s="36" t="b">
        <v>0</v>
      </c>
      <c r="D40" s="36" t="b">
        <v>0</v>
      </c>
      <c r="E40" s="36" t="b">
        <v>0</v>
      </c>
      <c r="F40" s="6"/>
      <c r="G40" s="36" t="b">
        <v>1</v>
      </c>
      <c r="H40" s="36" t="s">
        <v>248</v>
      </c>
    </row>
    <row r="41">
      <c r="A41" s="21">
        <v>383.0</v>
      </c>
      <c r="B41" s="87" t="s">
        <v>278</v>
      </c>
      <c r="C41" s="36" t="b">
        <v>0</v>
      </c>
      <c r="D41" s="36" t="b">
        <v>0</v>
      </c>
      <c r="E41" s="36" t="b">
        <v>0</v>
      </c>
      <c r="F41" s="39" t="s">
        <v>280</v>
      </c>
      <c r="G41" s="36" t="b">
        <v>1</v>
      </c>
      <c r="H41" s="43" t="s">
        <v>66</v>
      </c>
    </row>
    <row r="42">
      <c r="A42" s="44">
        <v>387.0</v>
      </c>
      <c r="B42" s="48" t="s">
        <v>282</v>
      </c>
      <c r="C42" s="36" t="b">
        <v>0</v>
      </c>
      <c r="D42" s="36" t="b">
        <v>0</v>
      </c>
      <c r="E42" s="36" t="b">
        <v>0</v>
      </c>
      <c r="F42" s="57" t="s">
        <v>286</v>
      </c>
      <c r="G42" s="36" t="b">
        <v>1</v>
      </c>
      <c r="H42" s="43" t="s">
        <v>66</v>
      </c>
    </row>
    <row r="43">
      <c r="A43" s="89">
        <v>500.0</v>
      </c>
      <c r="B43" s="68" t="s">
        <v>287</v>
      </c>
      <c r="C43" s="36" t="b">
        <v>0</v>
      </c>
      <c r="D43" s="36" t="b">
        <v>0</v>
      </c>
      <c r="E43" s="36" t="b">
        <v>0</v>
      </c>
      <c r="F43" s="92" t="s">
        <v>291</v>
      </c>
      <c r="G43" s="36" t="b">
        <v>1</v>
      </c>
      <c r="H43" s="36" t="s">
        <v>292</v>
      </c>
    </row>
    <row r="44">
      <c r="A44" s="89">
        <v>501.0</v>
      </c>
      <c r="B44" s="48" t="s">
        <v>293</v>
      </c>
      <c r="C44" s="36" t="b">
        <v>0</v>
      </c>
      <c r="D44" s="36" t="b">
        <v>0</v>
      </c>
      <c r="E44" s="36" t="b">
        <v>0</v>
      </c>
      <c r="F44" s="92" t="s">
        <v>296</v>
      </c>
      <c r="G44" s="36" t="b">
        <v>1</v>
      </c>
      <c r="H44" s="36" t="s">
        <v>292</v>
      </c>
    </row>
    <row r="45">
      <c r="A45" s="89">
        <v>502.0</v>
      </c>
      <c r="B45" s="48" t="s">
        <v>298</v>
      </c>
      <c r="C45" s="36" t="b">
        <v>0</v>
      </c>
      <c r="D45" s="36" t="b">
        <v>0</v>
      </c>
      <c r="E45" s="36" t="b">
        <v>0</v>
      </c>
      <c r="F45" s="92" t="s">
        <v>302</v>
      </c>
      <c r="G45" s="36" t="b">
        <v>1</v>
      </c>
      <c r="H45" s="36" t="s">
        <v>292</v>
      </c>
    </row>
    <row r="46" hidden="1">
      <c r="A46" s="89" t="s">
        <v>303</v>
      </c>
      <c r="B46" s="48" t="s">
        <v>304</v>
      </c>
      <c r="C46" s="36" t="b">
        <v>1</v>
      </c>
      <c r="D46" s="78" t="b">
        <v>0</v>
      </c>
      <c r="E46" s="78" t="b">
        <v>0</v>
      </c>
      <c r="F46" s="39" t="s">
        <v>307</v>
      </c>
      <c r="G46" s="36" t="b">
        <v>1</v>
      </c>
      <c r="H46" s="36" t="s">
        <v>309</v>
      </c>
    </row>
  </sheetData>
  <mergeCells count="1">
    <mergeCell ref="A2:G2"/>
  </mergeCells>
  <hyperlinks>
    <hyperlink display="BRYAN ADAMS H S" location="'Bryan Adams'!A1" ref="B5"/>
    <hyperlink display="W H ADAMSON H S" location="Adamson!A1" ref="B6"/>
    <hyperlink display="NEW TECH H S AT BF DARRELL" location="'New Tech'!A1" ref="B7"/>
    <hyperlink display="MOISES E MOLINA H S" location="Molina!A1" ref="B8"/>
    <hyperlink display="HILLCREST H S" location="Hillcrest!A1" ref="B9"/>
    <hyperlink display="THOMAS JEFFERSON H S" location="TJ!A1" ref="B10"/>
    <hyperlink display="JUSTIN F KIMBALL H S" location="Kimball!A1" ref="B11"/>
    <hyperlink display="LINCOLN HUMANITIES/COMMUNICATIONS MAGNET H" location="Lincoln!A1" ref="B12"/>
    <hyperlink display="L G PINKSTON H S" location="Pinkston!A1" ref="B13"/>
    <hyperlink display="FRANKLIN D ROOSEVELT H S" location="Roosevelt!A1" ref="B14"/>
    <hyperlink display="W W SAMUELL H S" location="Samuell!A1" ref="B15"/>
    <hyperlink display="SEAGOVILLE H S" location="Seagoville!A1" ref="B16"/>
    <hyperlink display="SOUTH OAK CLIFF H S" location="SOC!A1" ref="B17"/>
    <hyperlink display="H GRADY SPRUCE H S" location="Spruce!A1" ref="B18"/>
    <hyperlink display="SUNSET H S" location="Sunset!A1" ref="B19"/>
    <hyperlink display="W T WHITE H S" location="White!A1" ref="B20"/>
    <hyperlink display="WOODROW WILSON H S" location="Wilson!A1" ref="B21"/>
    <hyperlink display="DAVID W CARTER H S" location="Carter!A1" ref="B22"/>
    <hyperlink display="NORTH DALLAS H S" location="'North Dallas'!A1" ref="B23"/>
    <hyperlink display="SKYLINE H S" location="Skyline!A1" ref="B24"/>
    <hyperlink display="SCHOOL OF SCIENCE AND ENGINEERING" location="'Townview SEM'!A1" ref="B25"/>
    <hyperlink display="EMMETT J CONRAD H S" location="Conrad!A1" ref="B26"/>
    <hyperlink display="JAMES MADISON H S" location="Madison!A1" ref="B27"/>
    <hyperlink display="SCHOOL OF BUSINESS AND MANAGEMENT" location="'Townview - Bus'!A1" ref="B28"/>
    <hyperlink display="BOOKER T WASHINGTON SPVA MAGNET" location="'Booker T'!A1" ref="B29"/>
    <hyperlink display="IRMA LERMA RANGEL YOUNG WOMEN'S LEADERSHIP" location="'Irma Rangel'!A1" ref="B30"/>
    <hyperlink display="SCHOOL OF HEALTH PROFESSIONS" location="'Townview - Health'!A1" ref="B31"/>
    <hyperlink display="ROSIE SORRELLS EDUCATION AND SOCIAL SERVIC" location="'Townview - Education'!A1" ref="B32"/>
    <hyperlink display="JUDGE BAREFOOT SANDERS LAW MAGNET" location="'Townview - Law'!A1" ref="B33"/>
    <hyperlink display="SCHOOL FOR THE TALENTED AND GIFTED" location="'Townview - TAG'!A1" ref="B34"/>
    <hyperlink display="KATHLYN J GILLIAM COLLEGIATE ACADEMY" location="Gilliam!A1" ref="B35"/>
    <hyperlink display="TRINIDAD GARZA EARLY COLLEGE AT MT VIEW" location="Garza!A1" ref="B36"/>
    <hyperlink display="DR WRIGHT L LASSITER JR EARLY COLLEGE H S" location="Lassiter!A1" ref="B37"/>
    <hyperlink display="WILMER-HUTCHINS H S" location="'Wilmer-Hutchins'!A1" ref="B38"/>
    <hyperlink display="BARACK OBAMA MALE LEADERSHIP ACA AT BF DAR" location="Obama!A1" ref="B39"/>
    <hyperlink display="INNOVATION DESIGN ENTREPRENEURSHIP ACADEMY" location="IDEA!A1" ref="B40"/>
    <hyperlink display="CITY LAB" location="'City Lab'!A1" ref="B41"/>
    <hyperlink display="NORTH LAKE EARLY COLLEGE HIGH SCHOOL" location="'North Lake'!A1" ref="B42"/>
    <hyperlink display="CAREER INSTITUTE NORTH" location="'CI North'!A1" ref="B43"/>
    <hyperlink display="CAREER INSTITUTE SOUTH" location="'CI South'!A1" ref="B44"/>
    <hyperlink display="CAREER INSTITUTE EAST" location="'CI East'!A1" ref="B45"/>
    <hyperlink display="HAYNES GLOBAL PREP" location="'Haynes Global Prep'!A1" ref="B4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9.25"/>
  </cols>
  <sheetData>
    <row r="1" ht="66.75" customHeight="1">
      <c r="A1" s="1" t="s">
        <v>0</v>
      </c>
      <c r="J1" s="2" t="s">
        <v>1</v>
      </c>
    </row>
    <row r="2">
      <c r="A2" s="3" t="s">
        <v>2</v>
      </c>
      <c r="B2" s="5" t="s">
        <v>5</v>
      </c>
      <c r="J2" s="13" t="s">
        <v>6</v>
      </c>
    </row>
    <row r="3">
      <c r="A3" s="3" t="s">
        <v>14</v>
      </c>
      <c r="B3" s="5" t="s">
        <v>19</v>
      </c>
    </row>
    <row r="4">
      <c r="A4" s="3" t="s">
        <v>17</v>
      </c>
      <c r="B4" s="5" t="s">
        <v>21</v>
      </c>
      <c r="J4" s="18" t="s">
        <v>20</v>
      </c>
    </row>
    <row r="5">
      <c r="A5" s="3" t="s">
        <v>26</v>
      </c>
      <c r="B5" s="19">
        <v>6.0</v>
      </c>
      <c r="J5" s="20" t="s">
        <v>30</v>
      </c>
    </row>
    <row r="6">
      <c r="A6" s="3" t="s">
        <v>34</v>
      </c>
      <c r="B6" s="19">
        <v>0.0</v>
      </c>
    </row>
    <row r="7">
      <c r="A7" s="3" t="s">
        <v>36</v>
      </c>
      <c r="B7" s="5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40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52</v>
      </c>
    </row>
    <row r="12">
      <c r="A12" s="31" t="s">
        <v>53</v>
      </c>
      <c r="B12" s="32">
        <v>1.30112E7</v>
      </c>
      <c r="C12" s="34" t="b">
        <v>0</v>
      </c>
      <c r="D12" s="27" t="s">
        <v>58</v>
      </c>
      <c r="E12" s="37">
        <v>1.0</v>
      </c>
      <c r="F12" s="37">
        <v>150.0</v>
      </c>
      <c r="G12" s="38"/>
      <c r="H12" s="37" t="s">
        <v>61</v>
      </c>
      <c r="I12" s="37"/>
      <c r="J12" s="41"/>
    </row>
    <row r="13">
      <c r="A13" s="31" t="s">
        <v>67</v>
      </c>
      <c r="B13" s="32" t="s">
        <v>70</v>
      </c>
      <c r="C13" s="27" t="b">
        <v>0</v>
      </c>
      <c r="D13" s="27" t="s">
        <v>71</v>
      </c>
      <c r="E13" s="37">
        <v>1.0</v>
      </c>
      <c r="F13" s="37">
        <v>120.0</v>
      </c>
      <c r="G13" s="38"/>
      <c r="H13" s="37" t="s">
        <v>61</v>
      </c>
      <c r="I13" s="37"/>
      <c r="J13" s="45" t="s">
        <v>75</v>
      </c>
    </row>
    <row r="14">
      <c r="A14" s="31" t="s">
        <v>78</v>
      </c>
      <c r="B14" s="32">
        <v>1.30344E7</v>
      </c>
      <c r="C14" s="27" t="b">
        <v>0</v>
      </c>
      <c r="D14" s="27" t="s">
        <v>71</v>
      </c>
      <c r="E14" s="37">
        <v>1.0</v>
      </c>
      <c r="F14" s="37"/>
      <c r="G14" s="38"/>
      <c r="H14" s="37" t="s">
        <v>81</v>
      </c>
      <c r="I14" s="37"/>
      <c r="J14" s="45" t="s">
        <v>75</v>
      </c>
    </row>
    <row r="15">
      <c r="A15" s="31" t="s">
        <v>83</v>
      </c>
      <c r="B15" s="32" t="s">
        <v>84</v>
      </c>
      <c r="C15" s="34" t="b">
        <v>0</v>
      </c>
      <c r="D15" s="27" t="s">
        <v>82</v>
      </c>
      <c r="E15" s="37">
        <v>1.0</v>
      </c>
      <c r="F15" s="37">
        <v>60.0</v>
      </c>
      <c r="G15" s="38"/>
      <c r="H15" s="37" t="s">
        <v>94</v>
      </c>
      <c r="I15" s="37" t="s">
        <v>95</v>
      </c>
      <c r="J15" s="45"/>
    </row>
    <row r="16">
      <c r="A16" s="31" t="s">
        <v>97</v>
      </c>
      <c r="B16" s="32">
        <v>1.303465E7</v>
      </c>
      <c r="C16" s="34" t="b">
        <v>0</v>
      </c>
      <c r="D16" s="27" t="s">
        <v>82</v>
      </c>
      <c r="E16" s="37">
        <v>0.5</v>
      </c>
      <c r="F16" s="37">
        <v>90.0</v>
      </c>
      <c r="G16" s="38"/>
      <c r="H16" s="37" t="s">
        <v>94</v>
      </c>
      <c r="I16" s="37" t="s">
        <v>95</v>
      </c>
      <c r="J16" s="45" t="s">
        <v>99</v>
      </c>
    </row>
    <row r="17">
      <c r="A17" s="53" t="s">
        <v>102</v>
      </c>
      <c r="B17" s="32">
        <v>1.30343E7</v>
      </c>
      <c r="C17" s="34" t="b">
        <v>0</v>
      </c>
      <c r="D17" s="27" t="s">
        <v>71</v>
      </c>
      <c r="E17" s="37">
        <v>0.5</v>
      </c>
      <c r="F17" s="37">
        <v>30.0</v>
      </c>
      <c r="G17" s="38"/>
      <c r="H17" s="37" t="s">
        <v>94</v>
      </c>
      <c r="I17" s="37" t="s">
        <v>95</v>
      </c>
      <c r="J17" s="41"/>
    </row>
    <row r="18">
      <c r="A18" s="53" t="s">
        <v>104</v>
      </c>
      <c r="B18" s="32">
        <v>1.30346E7</v>
      </c>
      <c r="C18" s="34" t="b">
        <v>0</v>
      </c>
      <c r="D18" s="27" t="s">
        <v>71</v>
      </c>
      <c r="E18" s="37">
        <v>0.5</v>
      </c>
      <c r="F18" s="37">
        <v>100.0</v>
      </c>
      <c r="G18" s="38"/>
      <c r="H18" s="37" t="s">
        <v>81</v>
      </c>
      <c r="I18" s="37"/>
      <c r="J18" s="41"/>
    </row>
    <row r="19">
      <c r="A19" s="31" t="s">
        <v>106</v>
      </c>
      <c r="B19" s="32">
        <v>1.30346E7</v>
      </c>
      <c r="C19" s="27" t="b">
        <v>1</v>
      </c>
      <c r="D19" s="27" t="s">
        <v>82</v>
      </c>
      <c r="E19" s="37">
        <v>0.5</v>
      </c>
      <c r="F19" s="37">
        <v>0.0</v>
      </c>
      <c r="G19" s="38"/>
      <c r="H19" s="37" t="s">
        <v>81</v>
      </c>
      <c r="I19" s="37"/>
      <c r="J19" s="41"/>
    </row>
    <row r="20">
      <c r="A20" s="31" t="s">
        <v>108</v>
      </c>
      <c r="B20" s="32">
        <v>1.30347E7</v>
      </c>
      <c r="C20" s="27" t="b">
        <v>1</v>
      </c>
      <c r="D20" s="27" t="s">
        <v>96</v>
      </c>
      <c r="E20" s="37">
        <v>2.0</v>
      </c>
      <c r="F20" s="37">
        <v>25.0</v>
      </c>
      <c r="G20" s="38"/>
      <c r="H20" s="37" t="s">
        <v>81</v>
      </c>
      <c r="I20" s="37"/>
      <c r="J20" s="41"/>
    </row>
    <row r="21">
      <c r="A21" s="31" t="s">
        <v>112</v>
      </c>
      <c r="B21" s="32">
        <v>1.30348E7</v>
      </c>
      <c r="C21" s="27" t="b">
        <v>1</v>
      </c>
      <c r="D21" s="27" t="s">
        <v>96</v>
      </c>
      <c r="E21" s="37">
        <v>2.0</v>
      </c>
      <c r="F21" s="37">
        <v>15.0</v>
      </c>
      <c r="G21" s="38"/>
      <c r="H21" s="37" t="s">
        <v>117</v>
      </c>
      <c r="I21" s="37" t="s">
        <v>95</v>
      </c>
      <c r="J21" s="41"/>
    </row>
    <row r="22">
      <c r="A22" s="51"/>
      <c r="B22" s="52"/>
      <c r="C22" s="52"/>
      <c r="D22" s="52" t="s">
        <v>101</v>
      </c>
      <c r="E22" s="54">
        <f t="shared" ref="E22:F22" si="1">sum(E12:E21)</f>
        <v>10</v>
      </c>
      <c r="F22" s="54">
        <f t="shared" si="1"/>
        <v>590</v>
      </c>
      <c r="G22" s="55">
        <f>SUM(G12:G21)</f>
        <v>0</v>
      </c>
      <c r="H22" s="54"/>
      <c r="I22" s="54"/>
      <c r="J22" s="56"/>
    </row>
    <row r="23" ht="7.5" customHeight="1">
      <c r="A23" s="23"/>
      <c r="B23" s="23"/>
      <c r="C23" s="23"/>
      <c r="D23" s="23"/>
      <c r="E23" s="25"/>
      <c r="F23" s="23"/>
      <c r="G23" s="23"/>
      <c r="H23" s="23"/>
      <c r="I23" s="25"/>
      <c r="J23" s="23"/>
    </row>
    <row r="24" ht="18.75" customHeight="1">
      <c r="A24" s="30" t="s">
        <v>135</v>
      </c>
      <c r="J24" s="26"/>
    </row>
    <row r="25" ht="18.75" customHeight="1">
      <c r="A25" s="33" t="s">
        <v>136</v>
      </c>
      <c r="J25" s="27"/>
    </row>
    <row r="26">
      <c r="A26" s="28" t="s">
        <v>41</v>
      </c>
      <c r="B26" s="28" t="s">
        <v>42</v>
      </c>
      <c r="C26" s="29" t="s">
        <v>43</v>
      </c>
      <c r="D26" s="28" t="s">
        <v>46</v>
      </c>
      <c r="E26" s="29" t="s">
        <v>47</v>
      </c>
      <c r="F26" s="29" t="s">
        <v>48</v>
      </c>
      <c r="G26" s="29" t="s">
        <v>142</v>
      </c>
      <c r="H26" s="29" t="s">
        <v>50</v>
      </c>
      <c r="I26" s="29" t="s">
        <v>51</v>
      </c>
      <c r="J26" s="29" t="s">
        <v>144</v>
      </c>
    </row>
    <row r="27">
      <c r="A27" s="59" t="s">
        <v>145</v>
      </c>
      <c r="B27" s="60" t="s">
        <v>147</v>
      </c>
      <c r="C27" s="34" t="b">
        <v>0</v>
      </c>
      <c r="D27" s="27" t="s">
        <v>58</v>
      </c>
      <c r="E27" s="37">
        <v>1.0</v>
      </c>
      <c r="F27" s="37">
        <v>72.0</v>
      </c>
      <c r="G27" s="38"/>
      <c r="H27" s="63" t="s">
        <v>151</v>
      </c>
      <c r="I27" s="63" t="s">
        <v>152</v>
      </c>
      <c r="J27" s="45" t="s">
        <v>153</v>
      </c>
    </row>
    <row r="28">
      <c r="A28" s="64" t="s">
        <v>155</v>
      </c>
      <c r="B28" s="32">
        <v>1.30375E7</v>
      </c>
      <c r="C28" s="34" t="b">
        <v>0</v>
      </c>
      <c r="D28" s="27" t="s">
        <v>71</v>
      </c>
      <c r="E28" s="37">
        <v>1.0</v>
      </c>
      <c r="F28" s="37">
        <v>50.0</v>
      </c>
      <c r="G28" s="38"/>
      <c r="H28" s="63" t="s">
        <v>157</v>
      </c>
      <c r="I28" s="63" t="s">
        <v>159</v>
      </c>
      <c r="J28" s="45"/>
    </row>
    <row r="29">
      <c r="A29" s="59" t="s">
        <v>160</v>
      </c>
      <c r="B29" s="60" t="s">
        <v>162</v>
      </c>
      <c r="C29" s="27" t="b">
        <v>0</v>
      </c>
      <c r="D29" s="27" t="s">
        <v>82</v>
      </c>
      <c r="E29" s="37">
        <v>1.0</v>
      </c>
      <c r="F29" s="37">
        <v>50.0</v>
      </c>
      <c r="G29" s="38"/>
      <c r="H29" s="63" t="s">
        <v>151</v>
      </c>
      <c r="I29" s="63" t="s">
        <v>152</v>
      </c>
      <c r="J29" s="45" t="s">
        <v>165</v>
      </c>
    </row>
    <row r="30">
      <c r="A30" s="59" t="s">
        <v>166</v>
      </c>
      <c r="B30" s="60" t="s">
        <v>168</v>
      </c>
      <c r="C30" s="27" t="b">
        <v>0</v>
      </c>
      <c r="D30" s="27" t="s">
        <v>82</v>
      </c>
      <c r="E30" s="37">
        <v>1.0</v>
      </c>
      <c r="F30" s="37">
        <v>50.0</v>
      </c>
      <c r="G30" s="38"/>
      <c r="H30" s="63" t="s">
        <v>157</v>
      </c>
      <c r="I30" s="63" t="s">
        <v>159</v>
      </c>
      <c r="J30" s="45"/>
    </row>
    <row r="31">
      <c r="A31" s="59" t="s">
        <v>173</v>
      </c>
      <c r="B31" s="60" t="s">
        <v>175</v>
      </c>
      <c r="C31" s="34" t="b">
        <v>0</v>
      </c>
      <c r="D31" s="27" t="s">
        <v>82</v>
      </c>
      <c r="E31" s="37">
        <v>1.0</v>
      </c>
      <c r="F31" s="37">
        <v>50.0</v>
      </c>
      <c r="G31" s="38"/>
      <c r="H31" s="63" t="s">
        <v>151</v>
      </c>
      <c r="I31" s="63" t="s">
        <v>152</v>
      </c>
      <c r="J31" s="45" t="s">
        <v>165</v>
      </c>
    </row>
    <row r="32">
      <c r="A32" s="51"/>
      <c r="B32" s="52"/>
      <c r="C32" s="52"/>
      <c r="D32" s="52" t="s">
        <v>101</v>
      </c>
      <c r="E32" s="54">
        <f t="shared" ref="E32:G32" si="2">sum(E27:E30)</f>
        <v>4</v>
      </c>
      <c r="F32" s="54">
        <f t="shared" si="2"/>
        <v>222</v>
      </c>
      <c r="G32" s="55">
        <f t="shared" si="2"/>
        <v>0</v>
      </c>
      <c r="H32" s="54"/>
      <c r="I32" s="54"/>
      <c r="J32" s="56"/>
    </row>
    <row r="33" ht="7.5" customHeight="1">
      <c r="A33" s="23"/>
      <c r="B33" s="23"/>
      <c r="C33" s="23"/>
      <c r="D33" s="23"/>
      <c r="E33" s="25"/>
      <c r="F33" s="23"/>
      <c r="G33" s="23">
        <f>SUM(G27:G32)</f>
        <v>0</v>
      </c>
      <c r="H33" s="23"/>
      <c r="I33" s="25"/>
      <c r="J33" s="23"/>
    </row>
    <row r="34" ht="18.75" customHeight="1">
      <c r="A34" s="30" t="s">
        <v>111</v>
      </c>
      <c r="J34" s="26"/>
    </row>
    <row r="35" ht="18.75" customHeight="1">
      <c r="A35" s="33" t="s">
        <v>194</v>
      </c>
      <c r="J35" s="27"/>
    </row>
    <row r="36">
      <c r="A36" s="28" t="s">
        <v>41</v>
      </c>
      <c r="B36" s="28" t="s">
        <v>42</v>
      </c>
      <c r="C36" s="29" t="s">
        <v>43</v>
      </c>
      <c r="D36" s="28" t="s">
        <v>46</v>
      </c>
      <c r="E36" s="29" t="s">
        <v>47</v>
      </c>
      <c r="F36" s="29" t="s">
        <v>48</v>
      </c>
      <c r="G36" s="29" t="s">
        <v>142</v>
      </c>
      <c r="H36" s="29" t="s">
        <v>50</v>
      </c>
      <c r="I36" s="29" t="s">
        <v>51</v>
      </c>
      <c r="J36" s="29" t="s">
        <v>196</v>
      </c>
    </row>
    <row r="37">
      <c r="A37" s="69" t="s">
        <v>197</v>
      </c>
      <c r="B37" s="27">
        <v>1.302255E7</v>
      </c>
      <c r="C37" s="34" t="b">
        <v>0</v>
      </c>
      <c r="D37" s="27" t="s">
        <v>58</v>
      </c>
      <c r="E37" s="37">
        <v>1.0</v>
      </c>
      <c r="F37" s="37">
        <v>100.0</v>
      </c>
      <c r="G37" s="38"/>
      <c r="H37" s="63" t="s">
        <v>199</v>
      </c>
      <c r="I37" s="63" t="s">
        <v>200</v>
      </c>
      <c r="J37" s="41"/>
    </row>
    <row r="38">
      <c r="A38" s="69" t="s">
        <v>194</v>
      </c>
      <c r="B38" s="27" t="s">
        <v>201</v>
      </c>
      <c r="C38" s="27" t="b">
        <v>1</v>
      </c>
      <c r="D38" s="27" t="s">
        <v>71</v>
      </c>
      <c r="E38" s="37">
        <v>2.0</v>
      </c>
      <c r="F38" s="37">
        <v>50.0</v>
      </c>
      <c r="G38" s="38"/>
      <c r="H38" s="63" t="s">
        <v>203</v>
      </c>
      <c r="I38" s="63" t="s">
        <v>200</v>
      </c>
      <c r="J38" s="41"/>
    </row>
    <row r="39">
      <c r="A39" s="69" t="s">
        <v>204</v>
      </c>
      <c r="B39" s="27">
        <v>1.302265E7</v>
      </c>
      <c r="C39" s="27" t="b">
        <v>1</v>
      </c>
      <c r="D39" s="27" t="s">
        <v>82</v>
      </c>
      <c r="E39" s="37">
        <v>2.0</v>
      </c>
      <c r="F39" s="37">
        <v>50.0</v>
      </c>
      <c r="G39" s="38"/>
      <c r="H39" s="63" t="s">
        <v>208</v>
      </c>
      <c r="I39" s="63" t="s">
        <v>200</v>
      </c>
      <c r="J39" s="45" t="s">
        <v>209</v>
      </c>
    </row>
    <row r="40">
      <c r="A40" s="69" t="s">
        <v>211</v>
      </c>
      <c r="B40" s="27">
        <v>1.302277E7</v>
      </c>
      <c r="C40" s="27" t="b">
        <v>1</v>
      </c>
      <c r="D40" s="27" t="s">
        <v>96</v>
      </c>
      <c r="E40" s="37">
        <v>2.0</v>
      </c>
      <c r="F40" s="37">
        <v>25.0</v>
      </c>
      <c r="G40" s="38"/>
      <c r="H40" s="63" t="s">
        <v>208</v>
      </c>
      <c r="I40" s="63" t="s">
        <v>200</v>
      </c>
      <c r="J40" s="45" t="s">
        <v>213</v>
      </c>
    </row>
    <row r="41">
      <c r="A41" s="51"/>
      <c r="B41" s="52"/>
      <c r="C41" s="52"/>
      <c r="D41" s="52" t="s">
        <v>101</v>
      </c>
      <c r="E41" s="54">
        <f t="shared" ref="E41:G41" si="3">sum(E37:E40)</f>
        <v>7</v>
      </c>
      <c r="F41" s="54">
        <f t="shared" si="3"/>
        <v>225</v>
      </c>
      <c r="G41" s="55">
        <f t="shared" si="3"/>
        <v>0</v>
      </c>
      <c r="H41" s="72"/>
      <c r="I41" s="72"/>
      <c r="J41" s="56"/>
    </row>
    <row r="42" ht="7.5" customHeight="1">
      <c r="A42" s="23"/>
      <c r="B42" s="23"/>
      <c r="C42" s="23"/>
      <c r="D42" s="23"/>
      <c r="E42" s="25"/>
      <c r="F42" s="23"/>
      <c r="G42" s="23"/>
      <c r="H42" s="23"/>
      <c r="I42" s="25"/>
      <c r="J42" s="23"/>
    </row>
    <row r="43" ht="18.75" customHeight="1">
      <c r="A43" s="30" t="s">
        <v>169</v>
      </c>
      <c r="J43" s="26"/>
    </row>
    <row r="44" ht="18.75" customHeight="1">
      <c r="A44" s="27" t="s">
        <v>223</v>
      </c>
      <c r="J44" s="27"/>
    </row>
    <row r="45">
      <c r="A45" s="28" t="s">
        <v>41</v>
      </c>
      <c r="B45" s="28" t="s">
        <v>42</v>
      </c>
      <c r="C45" s="29" t="s">
        <v>43</v>
      </c>
      <c r="D45" s="28" t="s">
        <v>46</v>
      </c>
      <c r="E45" s="29" t="s">
        <v>47</v>
      </c>
      <c r="F45" s="29" t="s">
        <v>48</v>
      </c>
      <c r="G45" s="29" t="s">
        <v>142</v>
      </c>
      <c r="H45" s="29" t="s">
        <v>50</v>
      </c>
      <c r="I45" s="29" t="s">
        <v>51</v>
      </c>
      <c r="J45" s="29" t="s">
        <v>230</v>
      </c>
    </row>
    <row r="46">
      <c r="A46" s="32" t="s">
        <v>231</v>
      </c>
      <c r="B46" s="32">
        <v>1.30293E7</v>
      </c>
      <c r="C46" s="34" t="b">
        <v>0</v>
      </c>
      <c r="D46" s="27" t="s">
        <v>71</v>
      </c>
      <c r="E46" s="37">
        <v>1.0</v>
      </c>
      <c r="F46" s="37">
        <v>225.0</v>
      </c>
      <c r="G46" s="38"/>
      <c r="H46" s="37" t="s">
        <v>237</v>
      </c>
      <c r="I46" s="37"/>
      <c r="J46" s="41"/>
    </row>
    <row r="47">
      <c r="A47" s="32" t="s">
        <v>239</v>
      </c>
      <c r="B47" s="32">
        <v>1.30294E7</v>
      </c>
      <c r="C47" s="34" t="b">
        <v>0</v>
      </c>
      <c r="D47" s="27" t="s">
        <v>82</v>
      </c>
      <c r="E47" s="37">
        <v>1.0</v>
      </c>
      <c r="F47" s="37">
        <v>30.0</v>
      </c>
      <c r="G47" s="38"/>
      <c r="H47" s="37" t="s">
        <v>237</v>
      </c>
      <c r="I47" s="37"/>
      <c r="J47" s="75" t="s">
        <v>242</v>
      </c>
    </row>
    <row r="48">
      <c r="A48" s="32" t="s">
        <v>243</v>
      </c>
      <c r="B48" s="32">
        <v>1.30295E7</v>
      </c>
      <c r="C48" s="27" t="b">
        <v>1</v>
      </c>
      <c r="D48" s="27" t="s">
        <v>96</v>
      </c>
      <c r="E48" s="37">
        <v>1.0</v>
      </c>
      <c r="F48" s="37">
        <v>30.0</v>
      </c>
      <c r="G48" s="38"/>
      <c r="H48" s="37" t="s">
        <v>237</v>
      </c>
      <c r="I48" s="37"/>
      <c r="J48" s="41"/>
    </row>
    <row r="49">
      <c r="A49" s="51"/>
      <c r="B49" s="52"/>
      <c r="C49" s="52"/>
      <c r="D49" s="52" t="s">
        <v>101</v>
      </c>
      <c r="E49" s="54">
        <f t="shared" ref="E49:G49" si="4">sum(E46:E48)</f>
        <v>3</v>
      </c>
      <c r="F49" s="54">
        <f t="shared" si="4"/>
        <v>285</v>
      </c>
      <c r="G49" s="55">
        <f t="shared" si="4"/>
        <v>0</v>
      </c>
      <c r="H49" s="54"/>
      <c r="I49" s="54"/>
      <c r="J49" s="56"/>
    </row>
    <row r="50" ht="7.5" customHeight="1">
      <c r="A50" s="23"/>
      <c r="B50" s="23"/>
      <c r="C50" s="23"/>
      <c r="D50" s="23"/>
      <c r="E50" s="25"/>
      <c r="F50" s="23"/>
      <c r="G50" s="23"/>
      <c r="H50" s="23"/>
      <c r="I50" s="25"/>
      <c r="J50" s="23"/>
    </row>
    <row r="51" ht="18.75" customHeight="1">
      <c r="A51" s="26" t="s">
        <v>205</v>
      </c>
      <c r="J51" s="26"/>
    </row>
    <row r="52" ht="18.75" customHeight="1">
      <c r="A52" s="33" t="s">
        <v>250</v>
      </c>
      <c r="J52" s="27"/>
    </row>
    <row r="53">
      <c r="A53" s="28" t="s">
        <v>41</v>
      </c>
      <c r="B53" s="28" t="s">
        <v>42</v>
      </c>
      <c r="C53" s="29" t="s">
        <v>43</v>
      </c>
      <c r="D53" s="28" t="s">
        <v>46</v>
      </c>
      <c r="E53" s="29" t="s">
        <v>47</v>
      </c>
      <c r="F53" s="29" t="s">
        <v>48</v>
      </c>
      <c r="G53" s="29" t="s">
        <v>142</v>
      </c>
      <c r="H53" s="29" t="s">
        <v>50</v>
      </c>
      <c r="I53" s="29" t="s">
        <v>51</v>
      </c>
      <c r="J53" s="29" t="s">
        <v>253</v>
      </c>
    </row>
    <row r="54">
      <c r="A54" s="59" t="s">
        <v>254</v>
      </c>
      <c r="B54" s="60" t="s">
        <v>255</v>
      </c>
      <c r="C54" s="34" t="b">
        <v>0</v>
      </c>
      <c r="D54" s="27" t="s">
        <v>58</v>
      </c>
      <c r="E54" s="37">
        <v>1.0</v>
      </c>
      <c r="F54" s="37">
        <v>34.0</v>
      </c>
      <c r="G54" s="80"/>
      <c r="H54" s="63" t="s">
        <v>259</v>
      </c>
      <c r="I54" s="63" t="s">
        <v>260</v>
      </c>
      <c r="J54" s="41"/>
    </row>
    <row r="55">
      <c r="A55" s="59" t="s">
        <v>261</v>
      </c>
      <c r="B55" s="60" t="s">
        <v>262</v>
      </c>
      <c r="C55" s="34" t="b">
        <v>0</v>
      </c>
      <c r="D55" s="27" t="s">
        <v>71</v>
      </c>
      <c r="E55" s="37">
        <v>1.0</v>
      </c>
      <c r="F55" s="37">
        <v>51.0</v>
      </c>
      <c r="G55" s="80"/>
      <c r="H55" s="81" t="s">
        <v>263</v>
      </c>
      <c r="I55" s="81" t="s">
        <v>265</v>
      </c>
      <c r="J55" s="41"/>
    </row>
    <row r="56">
      <c r="A56" s="83" t="s">
        <v>267</v>
      </c>
      <c r="B56" s="84" t="s">
        <v>268</v>
      </c>
      <c r="C56" s="34" t="b">
        <v>0</v>
      </c>
      <c r="D56" s="27" t="s">
        <v>82</v>
      </c>
      <c r="E56" s="37">
        <v>1.0</v>
      </c>
      <c r="F56" s="37">
        <v>51.0</v>
      </c>
      <c r="G56" s="80"/>
      <c r="H56" s="81" t="s">
        <v>263</v>
      </c>
      <c r="I56" s="81" t="s">
        <v>265</v>
      </c>
      <c r="J56" s="41" t="s">
        <v>270</v>
      </c>
    </row>
    <row r="57">
      <c r="A57" s="59" t="s">
        <v>272</v>
      </c>
      <c r="B57" s="60" t="s">
        <v>273</v>
      </c>
      <c r="C57" s="27" t="b">
        <v>1</v>
      </c>
      <c r="D57" s="27" t="s">
        <v>82</v>
      </c>
      <c r="E57" s="37">
        <v>1.0</v>
      </c>
      <c r="F57" s="37">
        <v>68.0</v>
      </c>
      <c r="G57" s="80"/>
      <c r="H57" s="63" t="s">
        <v>259</v>
      </c>
      <c r="I57" s="63" t="s">
        <v>260</v>
      </c>
      <c r="J57" s="41" t="s">
        <v>270</v>
      </c>
    </row>
    <row r="58">
      <c r="A58" s="51"/>
      <c r="B58" s="52"/>
      <c r="C58" s="52"/>
      <c r="D58" s="52" t="s">
        <v>101</v>
      </c>
      <c r="E58" s="54">
        <f>sum(E54:E57)</f>
        <v>4</v>
      </c>
      <c r="F58" s="54">
        <f t="shared" ref="F58:G58" si="5">sum(F53:F57)</f>
        <v>204</v>
      </c>
      <c r="G58" s="55">
        <f t="shared" si="5"/>
        <v>0</v>
      </c>
      <c r="H58" s="54"/>
      <c r="I58" s="54"/>
      <c r="J58" s="56"/>
    </row>
    <row r="59" ht="18.75" customHeight="1">
      <c r="A59" s="30" t="s">
        <v>281</v>
      </c>
      <c r="J59" s="26"/>
    </row>
    <row r="60" ht="18.75" customHeight="1">
      <c r="A60" s="27" t="s">
        <v>78</v>
      </c>
      <c r="J60" s="27"/>
    </row>
    <row r="61">
      <c r="A61" s="28" t="s">
        <v>41</v>
      </c>
      <c r="B61" s="28" t="s">
        <v>42</v>
      </c>
      <c r="C61" s="29" t="s">
        <v>43</v>
      </c>
      <c r="D61" s="28" t="s">
        <v>46</v>
      </c>
      <c r="E61" s="29" t="s">
        <v>47</v>
      </c>
      <c r="F61" s="29" t="s">
        <v>48</v>
      </c>
      <c r="G61" s="29" t="s">
        <v>142</v>
      </c>
      <c r="H61" s="29" t="s">
        <v>50</v>
      </c>
      <c r="I61" s="29" t="s">
        <v>51</v>
      </c>
      <c r="J61" s="29" t="s">
        <v>288</v>
      </c>
    </row>
    <row r="62">
      <c r="A62" s="90" t="s">
        <v>289</v>
      </c>
      <c r="B62" s="32">
        <v>1.30112E7</v>
      </c>
      <c r="C62" s="34" t="b">
        <v>0</v>
      </c>
      <c r="D62" s="27" t="s">
        <v>58</v>
      </c>
      <c r="E62" s="37">
        <v>1.0</v>
      </c>
      <c r="F62" s="37">
        <v>150.0</v>
      </c>
      <c r="G62" s="38"/>
      <c r="H62" s="37" t="s">
        <v>294</v>
      </c>
      <c r="I62" s="95" t="s">
        <v>295</v>
      </c>
      <c r="J62" s="41"/>
    </row>
    <row r="63">
      <c r="A63" s="32" t="s">
        <v>78</v>
      </c>
      <c r="B63" s="32">
        <v>1.30344E7</v>
      </c>
      <c r="C63" s="27" t="b">
        <v>0</v>
      </c>
      <c r="D63" s="27" t="s">
        <v>71</v>
      </c>
      <c r="E63" s="37">
        <v>1.0</v>
      </c>
      <c r="F63" s="37">
        <v>75.0</v>
      </c>
      <c r="G63" s="38"/>
      <c r="H63" s="37" t="s">
        <v>299</v>
      </c>
      <c r="I63" s="37" t="s">
        <v>301</v>
      </c>
      <c r="J63" s="45" t="s">
        <v>75</v>
      </c>
    </row>
    <row r="64">
      <c r="A64" s="98" t="s">
        <v>78</v>
      </c>
      <c r="B64" s="32">
        <v>1.30344E7</v>
      </c>
      <c r="C64" s="27" t="b">
        <v>0</v>
      </c>
      <c r="D64" s="27"/>
      <c r="E64" s="37"/>
      <c r="F64" s="37"/>
      <c r="G64" s="38"/>
      <c r="H64" s="100" t="s">
        <v>305</v>
      </c>
      <c r="I64" s="37"/>
      <c r="J64" s="45" t="s">
        <v>75</v>
      </c>
    </row>
    <row r="65">
      <c r="A65" s="32" t="s">
        <v>310</v>
      </c>
      <c r="B65" s="32" t="s">
        <v>311</v>
      </c>
      <c r="C65" s="27" t="b">
        <v>1</v>
      </c>
      <c r="D65" s="27" t="s">
        <v>82</v>
      </c>
      <c r="E65" s="37">
        <v>1.0</v>
      </c>
      <c r="F65" s="37">
        <v>50.0</v>
      </c>
      <c r="G65" s="38"/>
      <c r="H65" s="37" t="s">
        <v>312</v>
      </c>
      <c r="I65" s="37" t="s">
        <v>95</v>
      </c>
      <c r="J65" s="41"/>
    </row>
    <row r="66">
      <c r="A66" s="90" t="s">
        <v>314</v>
      </c>
      <c r="B66" s="32"/>
      <c r="C66" s="27" t="b">
        <v>1</v>
      </c>
      <c r="D66" s="27" t="s">
        <v>96</v>
      </c>
      <c r="E66" s="37">
        <v>2.0</v>
      </c>
      <c r="F66" s="37">
        <v>25.0</v>
      </c>
      <c r="G66" s="38"/>
      <c r="H66" s="37" t="s">
        <v>312</v>
      </c>
      <c r="I66" s="37" t="s">
        <v>95</v>
      </c>
      <c r="J66" s="41"/>
    </row>
    <row r="67">
      <c r="A67" s="51"/>
      <c r="B67" s="52"/>
      <c r="C67" s="52"/>
      <c r="D67" s="52" t="s">
        <v>101</v>
      </c>
      <c r="E67" s="54">
        <f t="shared" ref="E67:G67" si="6">sum(E62:E66)</f>
        <v>5</v>
      </c>
      <c r="F67" s="54">
        <f t="shared" si="6"/>
        <v>300</v>
      </c>
      <c r="G67" s="55">
        <f t="shared" si="6"/>
        <v>0</v>
      </c>
      <c r="H67" s="54"/>
      <c r="I67" s="54"/>
      <c r="J67" s="56"/>
    </row>
    <row r="68" ht="18.75" customHeight="1">
      <c r="A68" s="30">
        <f>SUM(G62:G67)</f>
        <v>0</v>
      </c>
      <c r="J68" s="26"/>
    </row>
    <row r="69" ht="18.75" customHeight="1">
      <c r="A69" s="27" t="s">
        <v>318</v>
      </c>
      <c r="J69" s="27"/>
    </row>
    <row r="70">
      <c r="A70" s="28" t="s">
        <v>41</v>
      </c>
      <c r="B70" s="28" t="s">
        <v>42</v>
      </c>
      <c r="C70" s="29" t="s">
        <v>43</v>
      </c>
      <c r="D70" s="28" t="s">
        <v>46</v>
      </c>
      <c r="E70" s="29" t="s">
        <v>47</v>
      </c>
      <c r="F70" s="29" t="s">
        <v>48</v>
      </c>
      <c r="G70" s="29" t="s">
        <v>142</v>
      </c>
      <c r="H70" s="29" t="s">
        <v>50</v>
      </c>
      <c r="I70" s="29" t="s">
        <v>51</v>
      </c>
      <c r="J70" s="29" t="s">
        <v>321</v>
      </c>
    </row>
    <row r="71">
      <c r="A71" s="90" t="s">
        <v>216</v>
      </c>
      <c r="B71" s="103">
        <v>1.30278E7</v>
      </c>
      <c r="C71" s="27" t="b">
        <v>0</v>
      </c>
      <c r="D71" s="27" t="s">
        <v>58</v>
      </c>
      <c r="E71" s="37">
        <v>1.0</v>
      </c>
      <c r="F71" s="37">
        <v>50.0</v>
      </c>
      <c r="G71" s="38"/>
      <c r="H71" s="37" t="s">
        <v>324</v>
      </c>
      <c r="I71" s="37"/>
      <c r="J71" s="41"/>
    </row>
    <row r="72">
      <c r="A72" s="51"/>
      <c r="B72" s="52"/>
      <c r="C72" s="52"/>
      <c r="D72" s="52" t="s">
        <v>101</v>
      </c>
      <c r="E72" s="54">
        <f t="shared" ref="E72:F72" si="7">sum(E71)</f>
        <v>1</v>
      </c>
      <c r="F72" s="54">
        <f t="shared" si="7"/>
        <v>50</v>
      </c>
      <c r="G72" s="55">
        <f>sum(G70:G71)</f>
        <v>0</v>
      </c>
      <c r="H72" s="54"/>
      <c r="I72" s="54"/>
      <c r="J72" s="56"/>
    </row>
  </sheetData>
  <mergeCells count="23">
    <mergeCell ref="A1:I1"/>
    <mergeCell ref="B2:I2"/>
    <mergeCell ref="J2:J3"/>
    <mergeCell ref="B3:I3"/>
    <mergeCell ref="B4:I4"/>
    <mergeCell ref="B5:I5"/>
    <mergeCell ref="J5:J6"/>
    <mergeCell ref="B6:I6"/>
    <mergeCell ref="B7:I7"/>
    <mergeCell ref="A9:I9"/>
    <mergeCell ref="A10:I10"/>
    <mergeCell ref="A24:I24"/>
    <mergeCell ref="A25:I25"/>
    <mergeCell ref="A34:I34"/>
    <mergeCell ref="A68:I68"/>
    <mergeCell ref="A69:I69"/>
    <mergeCell ref="A35:I35"/>
    <mergeCell ref="A43:I43"/>
    <mergeCell ref="A44:I44"/>
    <mergeCell ref="A51:I51"/>
    <mergeCell ref="A52:I52"/>
    <mergeCell ref="A59:I59"/>
    <mergeCell ref="A60:I60"/>
  </mergeCells>
  <dataValidations>
    <dataValidation type="list" allowBlank="1" sqref="D12:D21 D27:D31 D37:D40 D46:D48 D54:D57 D62:D66 D71">
      <formula1>'Data Validation'!$A$2:$A$5</formula1>
    </dataValidation>
    <dataValidation type="list" allowBlank="1" sqref="E12:E21 E27:E31 E37:E40 E46:E48 E54:E57 E62:E66 E71">
      <formula1>'Data Validation'!$B$2:$B$4</formula1>
    </dataValidation>
  </dataValidations>
  <hyperlinks>
    <hyperlink r:id="rId1" ref="J2"/>
    <hyperlink r:id="rId2" ref="J4"/>
  </hyperlinks>
  <printOptions gridLines="1" horizontalCentered="1"/>
  <pageMargins bottom="0.125" footer="0.0" header="0.0" left="0.7" right="0.7" top="0.125"/>
  <pageSetup paperSize="5" cellComments="atEnd" orientation="landscape" pageOrder="overThenDown"/>
  <rowBreaks count="2" manualBreakCount="2">
    <brk man="1"/>
    <brk id="42" man="1"/>
  </rowBreaks>
  <colBreaks count="2" manualBreakCount="2">
    <brk man="1"/>
    <brk id="10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68.63"/>
  </cols>
  <sheetData>
    <row r="1" ht="66.75" customHeight="1">
      <c r="A1" s="1"/>
      <c r="J1" s="2" t="s">
        <v>1</v>
      </c>
    </row>
    <row r="2">
      <c r="A2" s="3" t="s">
        <v>2</v>
      </c>
      <c r="B2" s="5" t="s">
        <v>4</v>
      </c>
      <c r="J2" s="13" t="s">
        <v>6</v>
      </c>
    </row>
    <row r="3">
      <c r="A3" s="3" t="s">
        <v>14</v>
      </c>
      <c r="B3" s="5" t="s">
        <v>15</v>
      </c>
    </row>
    <row r="4">
      <c r="A4" s="3" t="s">
        <v>17</v>
      </c>
      <c r="B4" s="5" t="s">
        <v>18</v>
      </c>
      <c r="J4" s="18" t="s">
        <v>20</v>
      </c>
    </row>
    <row r="5">
      <c r="A5" s="3" t="s">
        <v>26</v>
      </c>
      <c r="B5" s="19" t="s">
        <v>28</v>
      </c>
      <c r="J5" s="24" t="s">
        <v>30</v>
      </c>
    </row>
    <row r="6">
      <c r="A6" s="3" t="s">
        <v>34</v>
      </c>
      <c r="B6" s="5"/>
    </row>
    <row r="7">
      <c r="A7" s="3" t="s">
        <v>36</v>
      </c>
      <c r="B7" s="5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45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54</v>
      </c>
    </row>
    <row r="12">
      <c r="A12" s="33" t="s">
        <v>55</v>
      </c>
      <c r="B12" s="27">
        <v>1.303955E7</v>
      </c>
      <c r="C12" s="27" t="b">
        <v>0</v>
      </c>
      <c r="D12" s="27" t="s">
        <v>58</v>
      </c>
      <c r="E12" s="37">
        <v>1.0</v>
      </c>
      <c r="F12" s="37">
        <v>240.0</v>
      </c>
      <c r="G12" s="38"/>
      <c r="H12" s="37" t="s">
        <v>62</v>
      </c>
      <c r="I12" s="37" t="s">
        <v>64</v>
      </c>
      <c r="J12" s="42" t="s">
        <v>65</v>
      </c>
    </row>
    <row r="13">
      <c r="A13" s="33" t="s">
        <v>69</v>
      </c>
      <c r="B13" s="27">
        <v>1.30396E7</v>
      </c>
      <c r="C13" s="27" t="b">
        <v>1</v>
      </c>
      <c r="D13" s="27" t="s">
        <v>71</v>
      </c>
      <c r="E13" s="37">
        <v>2.0</v>
      </c>
      <c r="F13" s="37">
        <v>180.0</v>
      </c>
      <c r="G13" s="38"/>
      <c r="H13" s="37" t="s">
        <v>73</v>
      </c>
      <c r="I13" s="37" t="s">
        <v>76</v>
      </c>
      <c r="J13" s="47" t="s">
        <v>77</v>
      </c>
    </row>
    <row r="14">
      <c r="A14" s="33" t="s">
        <v>80</v>
      </c>
      <c r="B14" s="27">
        <v>1.30397E7</v>
      </c>
      <c r="C14" s="27" t="b">
        <v>1</v>
      </c>
      <c r="D14" s="27" t="s">
        <v>82</v>
      </c>
      <c r="E14" s="37">
        <v>2.0</v>
      </c>
      <c r="F14" s="37">
        <v>100.0</v>
      </c>
      <c r="G14" s="38"/>
      <c r="H14" s="37" t="s">
        <v>86</v>
      </c>
      <c r="I14" s="37" t="s">
        <v>88</v>
      </c>
      <c r="J14" s="42" t="s">
        <v>90</v>
      </c>
    </row>
    <row r="15">
      <c r="A15" s="33" t="s">
        <v>92</v>
      </c>
      <c r="B15" s="27">
        <v>1.3040455E7</v>
      </c>
      <c r="C15" s="27" t="b">
        <v>1</v>
      </c>
      <c r="D15" s="27" t="s">
        <v>96</v>
      </c>
      <c r="E15" s="37">
        <v>2.0</v>
      </c>
      <c r="F15" s="37">
        <v>50.0</v>
      </c>
      <c r="G15" s="38"/>
      <c r="H15" s="37" t="s">
        <v>86</v>
      </c>
      <c r="I15" s="37" t="s">
        <v>88</v>
      </c>
      <c r="J15" s="42" t="s">
        <v>90</v>
      </c>
    </row>
    <row r="16">
      <c r="A16" s="51"/>
      <c r="B16" s="52"/>
      <c r="C16" s="52"/>
      <c r="D16" s="52" t="s">
        <v>101</v>
      </c>
      <c r="E16" s="54">
        <f t="shared" ref="E16:G16" si="1">sum(E12:E15)</f>
        <v>7</v>
      </c>
      <c r="F16" s="54">
        <f t="shared" si="1"/>
        <v>570</v>
      </c>
      <c r="G16" s="55">
        <f t="shared" si="1"/>
        <v>0</v>
      </c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26" t="s">
        <v>111</v>
      </c>
      <c r="J18" s="26"/>
    </row>
    <row r="19" ht="18.75" customHeight="1">
      <c r="A19" s="27" t="s">
        <v>113</v>
      </c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119</v>
      </c>
    </row>
    <row r="21">
      <c r="A21" s="27" t="s">
        <v>120</v>
      </c>
      <c r="B21" s="27">
        <v>1301660.0</v>
      </c>
      <c r="C21" s="27" t="b">
        <v>1</v>
      </c>
      <c r="D21" s="27" t="s">
        <v>71</v>
      </c>
      <c r="E21" s="37">
        <v>1.0</v>
      </c>
      <c r="F21" s="37">
        <v>90.0</v>
      </c>
      <c r="G21" s="38"/>
      <c r="H21" s="37" t="s">
        <v>122</v>
      </c>
      <c r="I21" s="37" t="s">
        <v>123</v>
      </c>
      <c r="J21" s="45" t="s">
        <v>125</v>
      </c>
    </row>
    <row r="22">
      <c r="A22" s="27" t="s">
        <v>127</v>
      </c>
      <c r="B22" s="27">
        <v>1.30168E7</v>
      </c>
      <c r="C22" s="27" t="b">
        <v>1</v>
      </c>
      <c r="D22" s="27" t="s">
        <v>82</v>
      </c>
      <c r="E22" s="37">
        <v>1.0</v>
      </c>
      <c r="F22" s="37">
        <v>90.0</v>
      </c>
      <c r="G22" s="38"/>
      <c r="H22" s="37" t="s">
        <v>122</v>
      </c>
      <c r="I22" s="37" t="s">
        <v>123</v>
      </c>
      <c r="J22" s="45" t="s">
        <v>132</v>
      </c>
    </row>
    <row r="23">
      <c r="A23" s="27" t="s">
        <v>133</v>
      </c>
      <c r="B23" s="27">
        <v>1.30164E7</v>
      </c>
      <c r="C23" s="27" t="b">
        <v>1</v>
      </c>
      <c r="D23" s="27" t="s">
        <v>96</v>
      </c>
      <c r="E23" s="37">
        <v>1.0</v>
      </c>
      <c r="F23" s="37">
        <v>90.0</v>
      </c>
      <c r="G23" s="38"/>
      <c r="H23" s="37" t="s">
        <v>122</v>
      </c>
      <c r="I23" s="37" t="s">
        <v>123</v>
      </c>
      <c r="J23" s="41"/>
    </row>
    <row r="24">
      <c r="A24" s="27" t="s">
        <v>140</v>
      </c>
      <c r="B24" s="27">
        <v>1.2701305E7</v>
      </c>
      <c r="C24" s="27" t="b">
        <v>1</v>
      </c>
      <c r="D24" s="27" t="s">
        <v>96</v>
      </c>
      <c r="E24" s="37">
        <v>3.0</v>
      </c>
      <c r="F24" s="37">
        <v>30.0</v>
      </c>
      <c r="G24" s="38"/>
      <c r="H24" s="37" t="s">
        <v>122</v>
      </c>
      <c r="I24" s="37" t="s">
        <v>123</v>
      </c>
      <c r="J24" s="41"/>
    </row>
    <row r="25">
      <c r="A25" s="27" t="s">
        <v>146</v>
      </c>
      <c r="B25" s="61">
        <v>1.2701305E7</v>
      </c>
      <c r="C25" s="27" t="b">
        <v>0</v>
      </c>
      <c r="D25" s="27"/>
      <c r="E25" s="37"/>
      <c r="F25" s="37"/>
      <c r="G25" s="38"/>
      <c r="H25" s="37" t="s">
        <v>122</v>
      </c>
      <c r="I25" s="37" t="s">
        <v>123</v>
      </c>
      <c r="J25" s="41"/>
    </row>
    <row r="26">
      <c r="A26" s="51"/>
      <c r="B26" s="52"/>
      <c r="C26" s="52"/>
      <c r="D26" s="52" t="s">
        <v>101</v>
      </c>
      <c r="E26" s="54">
        <f>sum(E21:E24)</f>
        <v>6</v>
      </c>
      <c r="F26" s="54"/>
      <c r="G26" s="55">
        <f>sum(G21:G25)</f>
        <v>0</v>
      </c>
      <c r="H26" s="54"/>
      <c r="I26" s="54"/>
      <c r="J26" s="56"/>
    </row>
    <row r="27" ht="7.5" customHeight="1">
      <c r="A27" s="23"/>
      <c r="B27" s="23"/>
      <c r="C27" s="23"/>
      <c r="D27" s="23"/>
      <c r="E27" s="25"/>
      <c r="F27" s="23"/>
      <c r="G27" s="23"/>
      <c r="H27" s="23"/>
      <c r="I27" s="25"/>
      <c r="J27" s="23"/>
    </row>
    <row r="28" ht="18.75" customHeight="1">
      <c r="A28" s="26" t="s">
        <v>169</v>
      </c>
      <c r="J28" s="26"/>
    </row>
    <row r="29" ht="18.75" customHeight="1">
      <c r="A29" s="27" t="s">
        <v>170</v>
      </c>
      <c r="J29" s="27"/>
    </row>
    <row r="30">
      <c r="A30" s="28" t="s">
        <v>41</v>
      </c>
      <c r="B30" s="28" t="s">
        <v>42</v>
      </c>
      <c r="C30" s="29" t="s">
        <v>43</v>
      </c>
      <c r="D30" s="28" t="s">
        <v>46</v>
      </c>
      <c r="E30" s="29" t="s">
        <v>47</v>
      </c>
      <c r="F30" s="29" t="s">
        <v>48</v>
      </c>
      <c r="G30" s="29" t="s">
        <v>49</v>
      </c>
      <c r="H30" s="29" t="s">
        <v>50</v>
      </c>
      <c r="I30" s="29" t="s">
        <v>51</v>
      </c>
      <c r="J30" s="29" t="s">
        <v>176</v>
      </c>
    </row>
    <row r="31">
      <c r="A31" s="27" t="s">
        <v>67</v>
      </c>
      <c r="B31" s="27">
        <v>1.3012E7</v>
      </c>
      <c r="C31" s="27" t="b">
        <v>1</v>
      </c>
      <c r="D31" s="27" t="s">
        <v>71</v>
      </c>
      <c r="E31" s="37">
        <v>1.0</v>
      </c>
      <c r="F31" s="37">
        <v>120.0</v>
      </c>
      <c r="G31" s="38"/>
      <c r="H31" s="37" t="s">
        <v>179</v>
      </c>
      <c r="I31" s="37" t="s">
        <v>88</v>
      </c>
      <c r="J31" s="45" t="s">
        <v>75</v>
      </c>
    </row>
    <row r="32">
      <c r="A32" s="27" t="s">
        <v>180</v>
      </c>
      <c r="B32" s="27">
        <v>1.30342E7</v>
      </c>
      <c r="C32" s="27" t="b">
        <v>1</v>
      </c>
      <c r="D32" s="27" t="s">
        <v>82</v>
      </c>
      <c r="E32" s="37">
        <v>0.5</v>
      </c>
      <c r="F32" s="37">
        <v>60.0</v>
      </c>
      <c r="G32" s="38"/>
      <c r="H32" s="37" t="s">
        <v>179</v>
      </c>
      <c r="I32" s="37" t="s">
        <v>88</v>
      </c>
      <c r="J32" s="41"/>
    </row>
    <row r="33">
      <c r="A33" s="27" t="s">
        <v>97</v>
      </c>
      <c r="B33" s="27">
        <v>1.303465E7</v>
      </c>
      <c r="C33" s="27" t="b">
        <v>1</v>
      </c>
      <c r="D33" s="27" t="s">
        <v>82</v>
      </c>
      <c r="E33" s="37">
        <v>0.5</v>
      </c>
      <c r="F33" s="37">
        <v>60.0</v>
      </c>
      <c r="G33" s="38"/>
      <c r="H33" s="37" t="s">
        <v>179</v>
      </c>
      <c r="I33" s="37" t="s">
        <v>88</v>
      </c>
      <c r="J33" s="45" t="s">
        <v>99</v>
      </c>
    </row>
    <row r="34">
      <c r="A34" s="27" t="s">
        <v>192</v>
      </c>
      <c r="B34" s="27">
        <v>1.30348E7</v>
      </c>
      <c r="C34" s="27" t="b">
        <v>1</v>
      </c>
      <c r="D34" s="27" t="s">
        <v>96</v>
      </c>
      <c r="E34" s="37">
        <v>2.0</v>
      </c>
      <c r="F34" s="37">
        <v>30.0</v>
      </c>
      <c r="G34" s="38"/>
      <c r="H34" s="37" t="s">
        <v>179</v>
      </c>
      <c r="I34" s="37" t="s">
        <v>88</v>
      </c>
      <c r="J34" s="45"/>
    </row>
    <row r="35">
      <c r="A35" s="51"/>
      <c r="B35" s="52"/>
      <c r="C35" s="52"/>
      <c r="D35" s="52" t="s">
        <v>101</v>
      </c>
      <c r="E35" s="54">
        <f>sum(E31:E34)</f>
        <v>4</v>
      </c>
      <c r="F35" s="54"/>
      <c r="G35" s="70">
        <v>212.0</v>
      </c>
      <c r="H35" s="54"/>
      <c r="I35" s="54"/>
      <c r="J35" s="56"/>
    </row>
    <row r="36" ht="7.5" customHeight="1">
      <c r="A36" s="23"/>
      <c r="B36" s="23"/>
      <c r="C36" s="23"/>
      <c r="D36" s="23"/>
      <c r="E36" s="25"/>
      <c r="F36" s="23"/>
      <c r="G36" s="23">
        <f>SUM(G31:G35)</f>
        <v>212</v>
      </c>
      <c r="H36" s="23"/>
      <c r="I36" s="25"/>
      <c r="J36" s="23"/>
    </row>
    <row r="37" ht="18.75" customHeight="1">
      <c r="A37" s="26" t="s">
        <v>205</v>
      </c>
      <c r="J37" s="26"/>
    </row>
    <row r="38" ht="18.75" customHeight="1">
      <c r="A38" s="27" t="s">
        <v>207</v>
      </c>
      <c r="J38" s="27"/>
    </row>
    <row r="39">
      <c r="A39" s="28" t="s">
        <v>41</v>
      </c>
      <c r="B39" s="28" t="s">
        <v>42</v>
      </c>
      <c r="C39" s="29" t="s">
        <v>43</v>
      </c>
      <c r="D39" s="28" t="s">
        <v>46</v>
      </c>
      <c r="E39" s="29" t="s">
        <v>47</v>
      </c>
      <c r="F39" s="29" t="s">
        <v>48</v>
      </c>
      <c r="G39" s="29" t="s">
        <v>49</v>
      </c>
      <c r="H39" s="29" t="s">
        <v>50</v>
      </c>
      <c r="I39" s="29" t="s">
        <v>51</v>
      </c>
      <c r="J39" s="29" t="s">
        <v>215</v>
      </c>
    </row>
    <row r="40">
      <c r="A40" s="33" t="s">
        <v>216</v>
      </c>
      <c r="B40" s="27">
        <v>1.30278E7</v>
      </c>
      <c r="C40" s="27" t="b">
        <v>1</v>
      </c>
      <c r="D40" s="27" t="s">
        <v>58</v>
      </c>
      <c r="E40" s="37">
        <v>1.0</v>
      </c>
      <c r="F40" s="37">
        <v>180.0</v>
      </c>
      <c r="G40" s="38"/>
      <c r="H40" s="37" t="s">
        <v>219</v>
      </c>
      <c r="I40" s="37" t="s">
        <v>88</v>
      </c>
      <c r="J40" s="41"/>
    </row>
    <row r="41">
      <c r="A41" s="73" t="s">
        <v>221</v>
      </c>
      <c r="B41" s="27">
        <v>1.30088E7</v>
      </c>
      <c r="C41" s="27" t="b">
        <v>0</v>
      </c>
      <c r="D41" s="27" t="s">
        <v>71</v>
      </c>
      <c r="E41" s="37">
        <v>1.0</v>
      </c>
      <c r="F41" s="37"/>
      <c r="G41" s="38"/>
      <c r="H41" s="37" t="s">
        <v>225</v>
      </c>
      <c r="I41" s="40" t="s">
        <v>227</v>
      </c>
      <c r="J41" s="45" t="s">
        <v>228</v>
      </c>
    </row>
    <row r="42">
      <c r="A42" s="73" t="s">
        <v>229</v>
      </c>
      <c r="B42" s="27">
        <v>1.30089E7</v>
      </c>
      <c r="C42" s="27" t="b">
        <v>1</v>
      </c>
      <c r="D42" s="27" t="s">
        <v>82</v>
      </c>
      <c r="E42" s="37">
        <v>1.0</v>
      </c>
      <c r="F42" s="37">
        <v>180.0</v>
      </c>
      <c r="G42" s="38"/>
      <c r="H42" s="37" t="s">
        <v>233</v>
      </c>
      <c r="I42" s="37" t="s">
        <v>234</v>
      </c>
      <c r="J42" s="45"/>
    </row>
    <row r="43">
      <c r="A43" s="33" t="s">
        <v>235</v>
      </c>
      <c r="B43" s="27">
        <v>1.3009E7</v>
      </c>
      <c r="C43" s="27" t="b">
        <v>1</v>
      </c>
      <c r="D43" s="27" t="s">
        <v>96</v>
      </c>
      <c r="E43" s="74">
        <v>2.0</v>
      </c>
      <c r="F43" s="37">
        <v>0.0</v>
      </c>
      <c r="G43" s="38"/>
      <c r="H43" s="37" t="s">
        <v>240</v>
      </c>
      <c r="I43" s="40" t="s">
        <v>227</v>
      </c>
      <c r="J43" s="45"/>
    </row>
    <row r="44">
      <c r="A44" s="27"/>
      <c r="B44" s="27"/>
      <c r="C44" s="27" t="b">
        <v>1</v>
      </c>
      <c r="D44" s="27"/>
      <c r="E44" s="37"/>
      <c r="F44" s="37"/>
      <c r="G44" s="38"/>
      <c r="H44" s="37"/>
      <c r="I44" s="76"/>
      <c r="J44" s="41"/>
    </row>
    <row r="45">
      <c r="A45" s="51"/>
      <c r="B45" s="52"/>
      <c r="C45" s="52"/>
      <c r="D45" s="52" t="s">
        <v>101</v>
      </c>
      <c r="E45" s="54">
        <f>sum(E39:E44)</f>
        <v>5</v>
      </c>
      <c r="F45" s="54"/>
      <c r="G45" s="55">
        <f>sum(G39:G43)</f>
        <v>0</v>
      </c>
      <c r="H45" s="54"/>
      <c r="I45" s="54"/>
      <c r="J45" s="56"/>
    </row>
    <row r="46" ht="9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</row>
    <row r="47">
      <c r="A47" s="30" t="s">
        <v>251</v>
      </c>
      <c r="J47" s="26"/>
    </row>
    <row r="48">
      <c r="A48" s="27"/>
      <c r="J48" s="27"/>
    </row>
    <row r="49">
      <c r="A49" s="28" t="s">
        <v>41</v>
      </c>
      <c r="B49" s="28" t="s">
        <v>42</v>
      </c>
      <c r="C49" s="29" t="s">
        <v>43</v>
      </c>
      <c r="D49" s="28" t="s">
        <v>46</v>
      </c>
      <c r="E49" s="29" t="s">
        <v>47</v>
      </c>
      <c r="F49" s="29" t="s">
        <v>48</v>
      </c>
      <c r="G49" s="29" t="s">
        <v>49</v>
      </c>
      <c r="H49" s="29" t="s">
        <v>50</v>
      </c>
      <c r="I49" s="29" t="s">
        <v>51</v>
      </c>
      <c r="J49" s="29" t="s">
        <v>256</v>
      </c>
    </row>
    <row r="50">
      <c r="A50" s="79"/>
      <c r="B50" s="27"/>
      <c r="C50" s="27"/>
      <c r="D50" s="27"/>
      <c r="E50" s="37"/>
      <c r="F50" s="37"/>
      <c r="G50" s="37"/>
      <c r="H50" s="37"/>
      <c r="I50" s="76"/>
      <c r="J50" s="82"/>
    </row>
    <row r="51">
      <c r="A51" s="79"/>
      <c r="B51" s="27"/>
      <c r="C51" s="34"/>
      <c r="D51" s="27"/>
      <c r="E51" s="37"/>
      <c r="F51" s="37"/>
      <c r="G51" s="37"/>
      <c r="I51" s="76"/>
      <c r="J51" s="45"/>
    </row>
    <row r="52">
      <c r="A52" s="27"/>
      <c r="B52" s="27"/>
      <c r="C52" s="34"/>
      <c r="D52" s="27"/>
      <c r="E52" s="37"/>
      <c r="F52" s="76"/>
      <c r="G52" s="76"/>
      <c r="H52" s="37"/>
      <c r="I52" s="76"/>
      <c r="J52" s="45"/>
    </row>
    <row r="53">
      <c r="A53" s="51"/>
      <c r="B53" s="52"/>
      <c r="C53" s="52"/>
      <c r="D53" s="52" t="s">
        <v>101</v>
      </c>
      <c r="E53" s="54">
        <f>sum(E47:E52)</f>
        <v>0</v>
      </c>
      <c r="F53" s="54"/>
      <c r="G53" s="54">
        <f>sum(G47:G51)</f>
        <v>0</v>
      </c>
      <c r="H53" s="54"/>
      <c r="I53" s="54"/>
      <c r="J53" s="56"/>
    </row>
  </sheetData>
  <mergeCells count="20">
    <mergeCell ref="A1:I1"/>
    <mergeCell ref="B2:I2"/>
    <mergeCell ref="J2:J3"/>
    <mergeCell ref="B3:I3"/>
    <mergeCell ref="B4:I4"/>
    <mergeCell ref="B5:I5"/>
    <mergeCell ref="J5:J6"/>
    <mergeCell ref="A29:I29"/>
    <mergeCell ref="A37:I37"/>
    <mergeCell ref="A38:I38"/>
    <mergeCell ref="A47:I47"/>
    <mergeCell ref="A48:I48"/>
    <mergeCell ref="H50:H51"/>
    <mergeCell ref="B6:I6"/>
    <mergeCell ref="B7:I7"/>
    <mergeCell ref="A9:I9"/>
    <mergeCell ref="A10:I10"/>
    <mergeCell ref="A18:I18"/>
    <mergeCell ref="A19:I19"/>
    <mergeCell ref="A28:I28"/>
  </mergeCells>
  <dataValidations>
    <dataValidation type="list" allowBlank="1" sqref="D12:D15 D21:D25 D31:D34 D40:D44 D50:D52">
      <formula1>'Data Validation'!$A$2:$A$5</formula1>
    </dataValidation>
    <dataValidation type="list" allowBlank="1" sqref="E12:E15 E21:E25 E31:E34 E40:E44 E50:E52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>
        <v>1500.0</v>
      </c>
      <c r="J1" s="2" t="s">
        <v>1</v>
      </c>
    </row>
    <row r="2">
      <c r="A2" s="3" t="s">
        <v>2</v>
      </c>
      <c r="B2" s="5" t="s">
        <v>8</v>
      </c>
      <c r="J2" s="13" t="s">
        <v>6</v>
      </c>
    </row>
    <row r="3">
      <c r="A3" s="3" t="s">
        <v>14</v>
      </c>
      <c r="B3" s="5" t="s">
        <v>22</v>
      </c>
    </row>
    <row r="4">
      <c r="A4" s="3" t="s">
        <v>17</v>
      </c>
      <c r="B4" s="5" t="s">
        <v>23</v>
      </c>
      <c r="J4" s="18" t="s">
        <v>20</v>
      </c>
    </row>
    <row r="5">
      <c r="A5" s="3" t="s">
        <v>26</v>
      </c>
      <c r="B5" s="19">
        <v>3.0</v>
      </c>
      <c r="J5" s="24" t="s">
        <v>30</v>
      </c>
    </row>
    <row r="6">
      <c r="A6" s="3" t="s">
        <v>34</v>
      </c>
      <c r="B6" s="5" t="s">
        <v>37</v>
      </c>
    </row>
    <row r="7">
      <c r="A7" s="3" t="s">
        <v>36</v>
      </c>
      <c r="B7" s="5" t="s">
        <v>39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44</v>
      </c>
      <c r="J9" s="26"/>
    </row>
    <row r="10" ht="18.75" customHeight="1">
      <c r="A10" s="27"/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56</v>
      </c>
    </row>
    <row r="12">
      <c r="A12" s="33" t="s">
        <v>57</v>
      </c>
      <c r="B12" s="27">
        <v>1.30082E7</v>
      </c>
      <c r="C12" s="27" t="b">
        <v>1</v>
      </c>
      <c r="D12" s="27" t="s">
        <v>58</v>
      </c>
      <c r="E12" s="37">
        <v>1.0</v>
      </c>
      <c r="F12" s="37">
        <v>100.0</v>
      </c>
      <c r="G12" s="38"/>
      <c r="H12" s="37" t="s">
        <v>60</v>
      </c>
      <c r="I12" s="40" t="s">
        <v>63</v>
      </c>
      <c r="J12" s="41"/>
    </row>
    <row r="13">
      <c r="A13" s="33" t="s">
        <v>68</v>
      </c>
      <c r="B13" s="27">
        <v>1.30083E7</v>
      </c>
      <c r="C13" s="34" t="b">
        <v>0</v>
      </c>
      <c r="D13" s="27" t="s">
        <v>71</v>
      </c>
      <c r="E13" s="37">
        <v>1.0</v>
      </c>
      <c r="F13" s="37">
        <v>125.0</v>
      </c>
      <c r="G13" s="38"/>
      <c r="H13" s="37" t="s">
        <v>72</v>
      </c>
      <c r="I13" s="46" t="s">
        <v>74</v>
      </c>
      <c r="J13" s="41"/>
    </row>
    <row r="14">
      <c r="A14" s="33" t="s">
        <v>79</v>
      </c>
      <c r="B14" s="27">
        <v>1.30084E7</v>
      </c>
      <c r="C14" s="34" t="b">
        <v>0</v>
      </c>
      <c r="D14" s="27" t="s">
        <v>82</v>
      </c>
      <c r="E14" s="37">
        <v>1.0</v>
      </c>
      <c r="F14" s="37">
        <v>100.0</v>
      </c>
      <c r="G14" s="38"/>
      <c r="H14" s="37" t="s">
        <v>72</v>
      </c>
      <c r="I14" s="46" t="s">
        <v>87</v>
      </c>
      <c r="J14" s="49" t="s">
        <v>89</v>
      </c>
    </row>
    <row r="15">
      <c r="A15" s="33" t="s">
        <v>93</v>
      </c>
      <c r="B15" s="27">
        <v>1.300845E7</v>
      </c>
      <c r="C15" s="34" t="b">
        <v>0</v>
      </c>
      <c r="D15" s="27" t="s">
        <v>96</v>
      </c>
      <c r="E15" s="37">
        <v>2.0</v>
      </c>
      <c r="F15" s="37">
        <v>0.0</v>
      </c>
      <c r="G15" s="38"/>
      <c r="H15" s="37" t="s">
        <v>72</v>
      </c>
      <c r="I15" s="46" t="s">
        <v>98</v>
      </c>
      <c r="J15" s="41"/>
    </row>
    <row r="16">
      <c r="A16" s="51"/>
      <c r="B16" s="52"/>
      <c r="C16" s="52"/>
      <c r="D16" s="52" t="s">
        <v>101</v>
      </c>
      <c r="E16" s="54">
        <f t="shared" ref="E16:G16" si="1">sum(E12:E15)</f>
        <v>5</v>
      </c>
      <c r="F16" s="54">
        <f t="shared" si="1"/>
        <v>325</v>
      </c>
      <c r="G16" s="55">
        <f t="shared" si="1"/>
        <v>0</v>
      </c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30" t="s">
        <v>109</v>
      </c>
      <c r="J18" s="26"/>
    </row>
    <row r="19" ht="18.75" customHeight="1">
      <c r="A19" s="27"/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116</v>
      </c>
    </row>
    <row r="21">
      <c r="A21" s="33" t="s">
        <v>57</v>
      </c>
      <c r="B21" s="27">
        <v>1.30082E7</v>
      </c>
      <c r="C21" s="27" t="b">
        <v>1</v>
      </c>
      <c r="D21" s="27" t="s">
        <v>58</v>
      </c>
      <c r="E21" s="37">
        <v>1.0</v>
      </c>
      <c r="F21" s="37">
        <v>100.0</v>
      </c>
      <c r="G21" s="58"/>
      <c r="H21" s="37" t="s">
        <v>60</v>
      </c>
      <c r="I21" s="40" t="s">
        <v>63</v>
      </c>
      <c r="J21" s="41"/>
    </row>
    <row r="22">
      <c r="A22" s="33" t="s">
        <v>126</v>
      </c>
      <c r="B22" s="27">
        <v>1.30085E7</v>
      </c>
      <c r="C22" s="34" t="b">
        <v>0</v>
      </c>
      <c r="D22" s="27" t="s">
        <v>71</v>
      </c>
      <c r="E22" s="37">
        <v>1.0</v>
      </c>
      <c r="F22" s="37">
        <v>50.0</v>
      </c>
      <c r="G22" s="38"/>
      <c r="H22" s="37" t="s">
        <v>129</v>
      </c>
      <c r="I22" s="37" t="s">
        <v>130</v>
      </c>
      <c r="J22" s="41"/>
    </row>
    <row r="23">
      <c r="A23" s="33" t="s">
        <v>131</v>
      </c>
      <c r="B23" s="27">
        <v>1.30086E7</v>
      </c>
      <c r="C23" s="34" t="b">
        <v>0</v>
      </c>
      <c r="D23" s="27" t="s">
        <v>82</v>
      </c>
      <c r="E23" s="37">
        <v>1.0</v>
      </c>
      <c r="F23" s="37">
        <v>25.0</v>
      </c>
      <c r="G23" s="38"/>
      <c r="H23" s="37" t="s">
        <v>129</v>
      </c>
      <c r="I23" s="37" t="s">
        <v>130</v>
      </c>
      <c r="J23" s="49" t="s">
        <v>137</v>
      </c>
    </row>
    <row r="24">
      <c r="A24" s="33" t="s">
        <v>138</v>
      </c>
      <c r="B24" s="27">
        <v>1.30087E7</v>
      </c>
      <c r="C24" s="34" t="b">
        <v>0</v>
      </c>
      <c r="D24" s="27" t="s">
        <v>96</v>
      </c>
      <c r="E24" s="37">
        <v>2.0</v>
      </c>
      <c r="F24" s="37">
        <v>20.0</v>
      </c>
      <c r="G24" s="38"/>
      <c r="H24" s="37" t="s">
        <v>129</v>
      </c>
      <c r="I24" s="37" t="s">
        <v>130</v>
      </c>
      <c r="J24" s="41"/>
    </row>
    <row r="25">
      <c r="A25" s="51"/>
      <c r="B25" s="52"/>
      <c r="C25" s="52"/>
      <c r="D25" s="52" t="s">
        <v>101</v>
      </c>
      <c r="E25" s="54">
        <f>sum(E22:E24)</f>
        <v>4</v>
      </c>
      <c r="F25" s="54">
        <f t="shared" ref="F25:G25" si="2">SUM(F21:F24)</f>
        <v>195</v>
      </c>
      <c r="G25" s="55">
        <f t="shared" si="2"/>
        <v>0</v>
      </c>
      <c r="H25" s="54"/>
      <c r="I25" s="54"/>
      <c r="J25" s="56"/>
    </row>
    <row r="26" ht="7.5" customHeight="1">
      <c r="A26" s="23"/>
      <c r="B26" s="23"/>
      <c r="C26" s="23"/>
      <c r="D26" s="23"/>
      <c r="E26" s="25"/>
      <c r="F26" s="23"/>
      <c r="G26" s="23"/>
      <c r="H26" s="23"/>
      <c r="I26" s="25"/>
      <c r="J26" s="23"/>
    </row>
    <row r="27" ht="18.75" customHeight="1">
      <c r="A27" s="30" t="s">
        <v>163</v>
      </c>
      <c r="J27" s="26"/>
    </row>
    <row r="28" ht="18.75" customHeight="1">
      <c r="A28" s="27"/>
      <c r="J28" s="27"/>
    </row>
    <row r="29">
      <c r="A29" s="28" t="s">
        <v>41</v>
      </c>
      <c r="B29" s="28" t="s">
        <v>42</v>
      </c>
      <c r="C29" s="29" t="s">
        <v>43</v>
      </c>
      <c r="D29" s="28" t="s">
        <v>46</v>
      </c>
      <c r="E29" s="29" t="s">
        <v>47</v>
      </c>
      <c r="F29" s="29" t="s">
        <v>48</v>
      </c>
      <c r="G29" s="29" t="s">
        <v>49</v>
      </c>
      <c r="H29" s="29" t="s">
        <v>50</v>
      </c>
      <c r="I29" s="29" t="s">
        <v>51</v>
      </c>
      <c r="J29" s="29" t="s">
        <v>172</v>
      </c>
    </row>
    <row r="30">
      <c r="A30" s="33" t="s">
        <v>57</v>
      </c>
      <c r="B30" s="27">
        <v>1.30082E7</v>
      </c>
      <c r="C30" s="27" t="b">
        <v>1</v>
      </c>
      <c r="D30" s="27" t="s">
        <v>58</v>
      </c>
      <c r="E30" s="37">
        <v>1.0</v>
      </c>
      <c r="F30" s="37">
        <v>100.0</v>
      </c>
      <c r="G30" s="37"/>
      <c r="H30" s="37" t="s">
        <v>60</v>
      </c>
      <c r="I30" s="40" t="s">
        <v>63</v>
      </c>
      <c r="J30" s="41"/>
    </row>
    <row r="31">
      <c r="A31" s="33" t="s">
        <v>177</v>
      </c>
      <c r="B31" s="27">
        <v>1.30088E7</v>
      </c>
      <c r="C31" s="34" t="b">
        <v>0</v>
      </c>
      <c r="D31" s="27" t="s">
        <v>58</v>
      </c>
      <c r="E31" s="37">
        <v>1.0</v>
      </c>
      <c r="F31" s="37">
        <v>0.0</v>
      </c>
      <c r="G31" s="38"/>
      <c r="H31" s="37" t="s">
        <v>182</v>
      </c>
      <c r="I31" s="37" t="s">
        <v>183</v>
      </c>
      <c r="J31" s="41"/>
    </row>
    <row r="32">
      <c r="A32" s="33" t="s">
        <v>185</v>
      </c>
      <c r="B32" s="27" t="s">
        <v>186</v>
      </c>
      <c r="C32" s="34" t="b">
        <v>0</v>
      </c>
      <c r="D32" s="27" t="s">
        <v>71</v>
      </c>
      <c r="E32" s="37">
        <v>1.0</v>
      </c>
      <c r="F32" s="37">
        <v>25.0</v>
      </c>
      <c r="G32" s="38"/>
      <c r="H32" s="37" t="s">
        <v>182</v>
      </c>
      <c r="I32" s="66" t="s">
        <v>183</v>
      </c>
      <c r="J32" s="41"/>
    </row>
    <row r="33">
      <c r="A33" s="33" t="s">
        <v>188</v>
      </c>
      <c r="B33" s="27" t="s">
        <v>189</v>
      </c>
      <c r="C33" s="34" t="b">
        <v>0</v>
      </c>
      <c r="D33" s="27" t="s">
        <v>82</v>
      </c>
      <c r="E33" s="37">
        <v>1.0</v>
      </c>
      <c r="F33" s="37">
        <v>0.0</v>
      </c>
      <c r="G33" s="38"/>
      <c r="H33" s="37" t="s">
        <v>182</v>
      </c>
      <c r="I33" s="66" t="s">
        <v>183</v>
      </c>
      <c r="J33" s="67" t="s">
        <v>195</v>
      </c>
    </row>
    <row r="34">
      <c r="A34" s="51"/>
      <c r="B34" s="52"/>
      <c r="C34" s="52"/>
      <c r="D34" s="52" t="s">
        <v>101</v>
      </c>
      <c r="E34" s="54">
        <f>sum(E31:E33)</f>
        <v>3</v>
      </c>
      <c r="F34" s="54">
        <f t="shared" ref="F34:G34" si="3">SUM(F30:F33)</f>
        <v>125</v>
      </c>
      <c r="G34" s="55">
        <f t="shared" si="3"/>
        <v>0</v>
      </c>
      <c r="H34" s="54"/>
      <c r="I34" s="54"/>
      <c r="J34" s="56"/>
    </row>
    <row r="35" ht="7.5" customHeight="1">
      <c r="A35" s="23"/>
      <c r="B35" s="23"/>
      <c r="C35" s="23"/>
      <c r="D35" s="23"/>
      <c r="E35" s="25"/>
      <c r="F35" s="23"/>
      <c r="G35" s="23"/>
      <c r="H35" s="23"/>
      <c r="I35" s="25"/>
      <c r="J35" s="23"/>
    </row>
  </sheetData>
  <mergeCells count="15">
    <mergeCell ref="B6:I6"/>
    <mergeCell ref="B7:I7"/>
    <mergeCell ref="A9:I9"/>
    <mergeCell ref="A10:I10"/>
    <mergeCell ref="A18:I18"/>
    <mergeCell ref="A19:I19"/>
    <mergeCell ref="A27:I27"/>
    <mergeCell ref="A28:I28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5 D21:D24 D30:D33">
      <formula1>'Data Validation'!$A$2:$A$5</formula1>
    </dataValidation>
    <dataValidation type="list" allowBlank="1" sqref="E12:E15 E21:E24 E30:E33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25" footer="0.0" header="0.0" left="0.25" right="0.25" top="0.25"/>
  <pageSetup paperSize="5" cellComments="atEnd" orientation="landscape" pageOrder="overThenDown"/>
  <rowBreaks count="2" manualBreakCount="2">
    <brk man="1"/>
    <brk id="35" man="1"/>
  </rowBreaks>
  <colBreaks count="2" manualBreakCount="2">
    <brk man="1"/>
    <brk id="10" man="1"/>
  </col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8.38"/>
  </cols>
  <sheetData>
    <row r="1" ht="66.75" customHeight="1">
      <c r="A1" s="1" t="s">
        <v>236</v>
      </c>
      <c r="J1" s="2" t="s">
        <v>1</v>
      </c>
    </row>
    <row r="2">
      <c r="A2" s="3" t="s">
        <v>2</v>
      </c>
      <c r="B2" s="5" t="s">
        <v>118</v>
      </c>
      <c r="J2" s="13" t="s">
        <v>6</v>
      </c>
    </row>
    <row r="3">
      <c r="A3" s="3" t="s">
        <v>14</v>
      </c>
      <c r="B3" s="5" t="s">
        <v>245</v>
      </c>
    </row>
    <row r="4">
      <c r="A4" s="3" t="s">
        <v>17</v>
      </c>
      <c r="B4" s="5" t="s">
        <v>246</v>
      </c>
      <c r="J4" s="18" t="s">
        <v>20</v>
      </c>
    </row>
    <row r="5">
      <c r="A5" s="3" t="s">
        <v>26</v>
      </c>
      <c r="B5" s="19">
        <v>4.0</v>
      </c>
      <c r="J5" s="24" t="s">
        <v>30</v>
      </c>
    </row>
    <row r="6">
      <c r="A6" s="3" t="s">
        <v>34</v>
      </c>
      <c r="B6" s="19">
        <v>1.0</v>
      </c>
    </row>
    <row r="7">
      <c r="A7" s="3" t="s">
        <v>36</v>
      </c>
      <c r="B7" s="5" t="s">
        <v>257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264</v>
      </c>
      <c r="J9" s="26"/>
    </row>
    <row r="10" ht="18.75" customHeight="1">
      <c r="A10" s="27"/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271</v>
      </c>
    </row>
    <row r="12">
      <c r="A12" s="33" t="s">
        <v>53</v>
      </c>
      <c r="B12" s="33"/>
      <c r="C12" s="33" t="b">
        <v>0</v>
      </c>
      <c r="D12" s="33" t="s">
        <v>58</v>
      </c>
      <c r="E12" s="85">
        <v>1.0</v>
      </c>
      <c r="F12" s="85"/>
      <c r="G12" s="86"/>
      <c r="H12" s="85" t="s">
        <v>277</v>
      </c>
      <c r="I12" s="85" t="s">
        <v>88</v>
      </c>
      <c r="J12" s="33"/>
    </row>
    <row r="13">
      <c r="A13" s="33" t="s">
        <v>279</v>
      </c>
      <c r="B13" s="33">
        <v>7154.0</v>
      </c>
      <c r="C13" s="33" t="b">
        <v>1</v>
      </c>
      <c r="D13" s="33" t="s">
        <v>58</v>
      </c>
      <c r="E13" s="85">
        <v>1.0</v>
      </c>
      <c r="F13" s="85">
        <v>210.0</v>
      </c>
      <c r="G13" s="86"/>
      <c r="H13" s="85" t="s">
        <v>283</v>
      </c>
      <c r="I13" s="85" t="s">
        <v>284</v>
      </c>
      <c r="J13" s="33" t="s">
        <v>285</v>
      </c>
    </row>
    <row r="14">
      <c r="A14" s="33" t="s">
        <v>257</v>
      </c>
      <c r="B14" s="33">
        <v>1.30162E7</v>
      </c>
      <c r="C14" s="88" t="b">
        <v>0</v>
      </c>
      <c r="D14" s="33" t="s">
        <v>71</v>
      </c>
      <c r="E14" s="85">
        <v>1.0</v>
      </c>
      <c r="F14" s="85">
        <v>60.0</v>
      </c>
      <c r="G14" s="86"/>
      <c r="H14" s="85" t="s">
        <v>283</v>
      </c>
      <c r="I14" s="85" t="s">
        <v>284</v>
      </c>
      <c r="J14" s="33"/>
    </row>
    <row r="15">
      <c r="A15" s="91" t="s">
        <v>290</v>
      </c>
      <c r="B15" s="91">
        <v>7160.0</v>
      </c>
      <c r="C15" s="93" t="b">
        <v>0</v>
      </c>
      <c r="D15" s="91" t="s">
        <v>71</v>
      </c>
      <c r="E15" s="94">
        <v>0.5</v>
      </c>
      <c r="F15" s="94">
        <v>50.0</v>
      </c>
      <c r="G15" s="96"/>
      <c r="H15" s="94" t="s">
        <v>297</v>
      </c>
      <c r="I15" s="97" t="s">
        <v>88</v>
      </c>
      <c r="J15" s="91"/>
    </row>
    <row r="16">
      <c r="A16" s="33" t="s">
        <v>300</v>
      </c>
      <c r="B16" s="33">
        <v>7158.0</v>
      </c>
      <c r="C16" s="88" t="b">
        <v>0</v>
      </c>
      <c r="D16" s="33" t="s">
        <v>82</v>
      </c>
      <c r="E16" s="85">
        <v>0.5</v>
      </c>
      <c r="F16" s="85">
        <v>50.0</v>
      </c>
      <c r="G16" s="86"/>
      <c r="H16" s="85" t="s">
        <v>277</v>
      </c>
      <c r="I16" s="99" t="s">
        <v>88</v>
      </c>
      <c r="J16" s="88"/>
    </row>
    <row r="17">
      <c r="A17" s="33" t="s">
        <v>308</v>
      </c>
      <c r="B17" s="33"/>
      <c r="C17" s="88" t="b">
        <v>0</v>
      </c>
      <c r="D17" s="33" t="s">
        <v>82</v>
      </c>
      <c r="E17" s="85">
        <v>1.0</v>
      </c>
      <c r="F17" s="85"/>
      <c r="G17" s="86"/>
      <c r="H17" s="85" t="s">
        <v>277</v>
      </c>
      <c r="I17" s="99" t="s">
        <v>88</v>
      </c>
      <c r="J17" s="33" t="s">
        <v>313</v>
      </c>
    </row>
    <row r="18">
      <c r="A18" s="51"/>
      <c r="B18" s="52"/>
      <c r="C18" s="52"/>
      <c r="D18" s="52" t="s">
        <v>101</v>
      </c>
      <c r="E18" s="54">
        <f>sum(E13:E17)</f>
        <v>4</v>
      </c>
      <c r="F18" s="54">
        <f>sum(F13:F16)</f>
        <v>370</v>
      </c>
      <c r="G18" s="54"/>
      <c r="H18" s="54"/>
      <c r="I18" s="54"/>
      <c r="J18" s="56"/>
    </row>
    <row r="19" ht="7.5" customHeight="1">
      <c r="A19" s="23"/>
      <c r="B19" s="23"/>
      <c r="C19" s="23"/>
      <c r="D19" s="23"/>
      <c r="E19" s="25"/>
      <c r="F19" s="23"/>
      <c r="G19" s="23"/>
      <c r="H19" s="23"/>
      <c r="I19" s="25"/>
      <c r="J19" s="23"/>
    </row>
    <row r="20" ht="18.75" customHeight="1">
      <c r="A20" s="30" t="s">
        <v>317</v>
      </c>
      <c r="J20" s="26"/>
    </row>
    <row r="21" ht="18.75" customHeight="1">
      <c r="A21" s="101" t="s">
        <v>194</v>
      </c>
      <c r="J21" s="27"/>
    </row>
    <row r="22">
      <c r="A22" s="28" t="s">
        <v>41</v>
      </c>
      <c r="B22" s="28" t="s">
        <v>42</v>
      </c>
      <c r="C22" s="29" t="s">
        <v>43</v>
      </c>
      <c r="D22" s="28" t="s">
        <v>46</v>
      </c>
      <c r="E22" s="29" t="s">
        <v>47</v>
      </c>
      <c r="F22" s="29" t="s">
        <v>48</v>
      </c>
      <c r="G22" s="29" t="s">
        <v>49</v>
      </c>
      <c r="H22" s="29" t="s">
        <v>50</v>
      </c>
      <c r="I22" s="29" t="s">
        <v>319</v>
      </c>
      <c r="J22" s="29" t="s">
        <v>320</v>
      </c>
    </row>
    <row r="23">
      <c r="A23" s="69" t="s">
        <v>197</v>
      </c>
      <c r="B23" s="27">
        <v>7270.0</v>
      </c>
      <c r="C23" s="27" t="b">
        <v>1</v>
      </c>
      <c r="D23" s="27" t="s">
        <v>58</v>
      </c>
      <c r="E23" s="37">
        <v>1.0</v>
      </c>
      <c r="F23" s="37">
        <v>90.0</v>
      </c>
      <c r="G23" s="38"/>
      <c r="H23" s="37" t="s">
        <v>322</v>
      </c>
      <c r="I23" s="63" t="s">
        <v>323</v>
      </c>
      <c r="J23" s="41"/>
    </row>
    <row r="24">
      <c r="A24" s="69" t="s">
        <v>194</v>
      </c>
      <c r="B24" s="27">
        <v>7803.0</v>
      </c>
      <c r="C24" s="27" t="b">
        <v>1</v>
      </c>
      <c r="D24" s="27" t="s">
        <v>71</v>
      </c>
      <c r="E24" s="37">
        <v>1.0</v>
      </c>
      <c r="F24" s="37">
        <v>125.0</v>
      </c>
      <c r="G24" s="38"/>
      <c r="H24" s="37" t="s">
        <v>322</v>
      </c>
      <c r="I24" s="63" t="s">
        <v>323</v>
      </c>
      <c r="J24" s="41"/>
    </row>
    <row r="25">
      <c r="A25" s="69" t="s">
        <v>211</v>
      </c>
      <c r="B25" s="27">
        <v>7278.0</v>
      </c>
      <c r="C25" s="34" t="b">
        <v>0</v>
      </c>
      <c r="D25" s="27" t="s">
        <v>96</v>
      </c>
      <c r="E25" s="37">
        <v>2.0</v>
      </c>
      <c r="F25" s="37">
        <v>25.0</v>
      </c>
      <c r="G25" s="38"/>
      <c r="H25" s="37" t="s">
        <v>322</v>
      </c>
      <c r="I25" s="63" t="s">
        <v>328</v>
      </c>
      <c r="J25" s="45" t="s">
        <v>209</v>
      </c>
    </row>
    <row r="26">
      <c r="A26" s="27"/>
      <c r="B26" s="27"/>
      <c r="C26" s="34"/>
      <c r="D26" s="27"/>
      <c r="E26" s="37"/>
      <c r="F26" s="37"/>
      <c r="G26" s="37"/>
      <c r="H26" s="37"/>
      <c r="I26" s="37"/>
      <c r="J26" s="45"/>
    </row>
    <row r="27">
      <c r="A27" s="51"/>
      <c r="B27" s="52"/>
      <c r="C27" s="52"/>
      <c r="D27" s="52" t="s">
        <v>101</v>
      </c>
      <c r="E27" s="54">
        <f t="shared" ref="E27:F27" si="1">sum(E23:E26)</f>
        <v>4</v>
      </c>
      <c r="F27" s="54">
        <f t="shared" si="1"/>
        <v>240</v>
      </c>
      <c r="G27" s="55">
        <f>SUM(G23:G26)</f>
        <v>0</v>
      </c>
      <c r="H27" s="54"/>
      <c r="I27" s="54"/>
      <c r="J27" s="56"/>
    </row>
    <row r="28" ht="7.5" customHeight="1">
      <c r="A28" s="23"/>
      <c r="B28" s="23"/>
      <c r="C28" s="23"/>
      <c r="D28" s="23"/>
      <c r="E28" s="25"/>
      <c r="F28" s="23"/>
      <c r="G28" s="23"/>
      <c r="H28" s="23"/>
      <c r="I28" s="25"/>
      <c r="J28" s="23"/>
    </row>
    <row r="29" ht="18.75" customHeight="1">
      <c r="A29" s="30" t="s">
        <v>335</v>
      </c>
      <c r="J29" s="26"/>
    </row>
    <row r="30" ht="18.75" customHeight="1">
      <c r="A30" s="112" t="s">
        <v>336</v>
      </c>
      <c r="J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48</v>
      </c>
      <c r="G31" s="29" t="s">
        <v>49</v>
      </c>
      <c r="H31" s="29" t="s">
        <v>50</v>
      </c>
      <c r="I31" s="29" t="s">
        <v>51</v>
      </c>
      <c r="J31" s="29" t="s">
        <v>340</v>
      </c>
    </row>
    <row r="32">
      <c r="A32" s="69" t="s">
        <v>331</v>
      </c>
      <c r="B32" s="27">
        <v>7270.0</v>
      </c>
      <c r="C32" s="27" t="b">
        <v>1</v>
      </c>
      <c r="D32" s="27" t="s">
        <v>58</v>
      </c>
      <c r="E32" s="37">
        <v>1.0</v>
      </c>
      <c r="F32" s="37">
        <v>90.0</v>
      </c>
      <c r="G32" s="38"/>
      <c r="H32" s="116" t="s">
        <v>342</v>
      </c>
      <c r="I32" s="63" t="s">
        <v>328</v>
      </c>
      <c r="J32" s="41"/>
    </row>
    <row r="33">
      <c r="A33" s="69" t="s">
        <v>346</v>
      </c>
      <c r="B33" s="27">
        <v>7271.0</v>
      </c>
      <c r="C33" s="34" t="b">
        <v>0</v>
      </c>
      <c r="D33" s="27" t="s">
        <v>71</v>
      </c>
      <c r="E33" s="37">
        <v>1.0</v>
      </c>
      <c r="F33" s="37">
        <v>50.0</v>
      </c>
      <c r="G33" s="38"/>
      <c r="H33" s="116" t="s">
        <v>342</v>
      </c>
      <c r="I33" s="63" t="s">
        <v>328</v>
      </c>
      <c r="J33" s="41"/>
    </row>
    <row r="34">
      <c r="A34" s="69" t="s">
        <v>349</v>
      </c>
      <c r="B34" s="27">
        <v>7273.0</v>
      </c>
      <c r="C34" s="34" t="b">
        <v>0</v>
      </c>
      <c r="D34" s="27" t="s">
        <v>71</v>
      </c>
      <c r="E34" s="37">
        <v>1.0</v>
      </c>
      <c r="F34" s="37">
        <v>75.0</v>
      </c>
      <c r="G34" s="38"/>
      <c r="H34" s="100" t="s">
        <v>342</v>
      </c>
      <c r="I34" s="63" t="s">
        <v>328</v>
      </c>
      <c r="J34" s="41"/>
    </row>
    <row r="35">
      <c r="A35" s="119" t="s">
        <v>257</v>
      </c>
      <c r="B35" s="120"/>
      <c r="C35" s="121" t="b">
        <v>0</v>
      </c>
      <c r="D35" s="119" t="s">
        <v>58</v>
      </c>
      <c r="E35" s="122">
        <v>2.0</v>
      </c>
      <c r="F35" s="122">
        <v>50.0</v>
      </c>
      <c r="G35" s="123"/>
      <c r="H35" s="124"/>
      <c r="I35" s="125"/>
      <c r="J35" s="126"/>
    </row>
    <row r="36">
      <c r="A36" s="69" t="s">
        <v>358</v>
      </c>
      <c r="B36" s="27">
        <v>7284.0</v>
      </c>
      <c r="C36" s="34" t="b">
        <v>0</v>
      </c>
      <c r="D36" s="27" t="s">
        <v>82</v>
      </c>
      <c r="E36" s="37">
        <v>2.0</v>
      </c>
      <c r="F36" s="37">
        <v>50.0</v>
      </c>
      <c r="G36" s="38"/>
      <c r="H36" s="100" t="s">
        <v>342</v>
      </c>
      <c r="I36" s="63" t="s">
        <v>328</v>
      </c>
      <c r="J36" s="41"/>
    </row>
    <row r="37">
      <c r="A37" s="69" t="s">
        <v>362</v>
      </c>
      <c r="B37" s="27" t="s">
        <v>363</v>
      </c>
      <c r="C37" s="34" t="b">
        <v>0</v>
      </c>
      <c r="D37" s="27" t="s">
        <v>96</v>
      </c>
      <c r="E37" s="37">
        <v>2.0</v>
      </c>
      <c r="F37" s="37">
        <v>50.0</v>
      </c>
      <c r="G37" s="38"/>
      <c r="H37" s="37" t="s">
        <v>367</v>
      </c>
      <c r="I37" s="130" t="s">
        <v>328</v>
      </c>
      <c r="J37" s="67" t="s">
        <v>368</v>
      </c>
    </row>
    <row r="38">
      <c r="A38" s="51"/>
      <c r="B38" s="52"/>
      <c r="C38" s="52"/>
      <c r="D38" s="52" t="s">
        <v>101</v>
      </c>
      <c r="E38" s="54">
        <f t="shared" ref="E38:F38" si="2">sum(E32:E37)</f>
        <v>9</v>
      </c>
      <c r="F38" s="54">
        <f t="shared" si="2"/>
        <v>365</v>
      </c>
      <c r="G38" s="55">
        <f>SUM(G32:G37)</f>
        <v>0</v>
      </c>
      <c r="H38" s="54"/>
      <c r="I38" s="54"/>
      <c r="J38" s="56"/>
    </row>
    <row r="39" ht="7.5" customHeight="1">
      <c r="A39" s="23"/>
      <c r="B39" s="23"/>
      <c r="C39" s="23"/>
      <c r="D39" s="23"/>
      <c r="E39" s="25"/>
      <c r="F39" s="23"/>
      <c r="G39" s="23"/>
      <c r="H39" s="23"/>
      <c r="I39" s="25"/>
      <c r="J39" s="23"/>
    </row>
    <row r="40" ht="18.75" customHeight="1">
      <c r="A40" s="30" t="s">
        <v>377</v>
      </c>
      <c r="J40" s="26"/>
    </row>
    <row r="41" ht="18.75" customHeight="1">
      <c r="A41" s="27"/>
      <c r="J41" s="27"/>
    </row>
    <row r="42">
      <c r="A42" s="28" t="s">
        <v>41</v>
      </c>
      <c r="B42" s="28" t="s">
        <v>42</v>
      </c>
      <c r="C42" s="29" t="s">
        <v>43</v>
      </c>
      <c r="D42" s="28" t="s">
        <v>46</v>
      </c>
      <c r="E42" s="29" t="s">
        <v>47</v>
      </c>
      <c r="F42" s="29" t="s">
        <v>48</v>
      </c>
      <c r="G42" s="29" t="s">
        <v>49</v>
      </c>
      <c r="H42" s="29" t="s">
        <v>50</v>
      </c>
      <c r="I42" s="29" t="s">
        <v>51</v>
      </c>
      <c r="J42" s="29" t="s">
        <v>386</v>
      </c>
    </row>
    <row r="43">
      <c r="A43" s="33" t="s">
        <v>387</v>
      </c>
      <c r="B43" s="33">
        <v>7326.0</v>
      </c>
      <c r="C43" s="33" t="b">
        <v>1</v>
      </c>
      <c r="D43" s="33" t="s">
        <v>58</v>
      </c>
      <c r="E43" s="85">
        <v>1.0</v>
      </c>
      <c r="F43" s="85">
        <v>150.0</v>
      </c>
      <c r="G43" s="86"/>
      <c r="H43" s="85" t="s">
        <v>389</v>
      </c>
      <c r="I43" s="85" t="s">
        <v>88</v>
      </c>
      <c r="J43" s="88"/>
    </row>
    <row r="44">
      <c r="A44" s="33" t="s">
        <v>231</v>
      </c>
      <c r="B44" s="33">
        <v>7327.0</v>
      </c>
      <c r="C44" s="88" t="b">
        <v>0</v>
      </c>
      <c r="D44" s="33" t="s">
        <v>71</v>
      </c>
      <c r="E44" s="85">
        <v>1.0</v>
      </c>
      <c r="F44" s="85">
        <v>60.0</v>
      </c>
      <c r="G44" s="86"/>
      <c r="H44" s="85" t="s">
        <v>395</v>
      </c>
      <c r="I44" s="132" t="s">
        <v>396</v>
      </c>
      <c r="J44" s="88"/>
    </row>
    <row r="45">
      <c r="A45" s="33" t="s">
        <v>239</v>
      </c>
      <c r="B45" s="33">
        <v>7334.0</v>
      </c>
      <c r="C45" s="88" t="b">
        <v>0</v>
      </c>
      <c r="D45" s="33" t="s">
        <v>82</v>
      </c>
      <c r="E45" s="85">
        <v>1.0</v>
      </c>
      <c r="F45" s="85">
        <v>50.0</v>
      </c>
      <c r="G45" s="86"/>
      <c r="H45" s="85" t="s">
        <v>395</v>
      </c>
      <c r="I45" s="132" t="s">
        <v>396</v>
      </c>
      <c r="J45" s="33" t="s">
        <v>402</v>
      </c>
    </row>
    <row r="46">
      <c r="A46" s="33" t="s">
        <v>403</v>
      </c>
      <c r="B46" s="33">
        <v>7335.0</v>
      </c>
      <c r="C46" s="88" t="b">
        <v>0</v>
      </c>
      <c r="D46" s="33" t="s">
        <v>82</v>
      </c>
      <c r="E46" s="85">
        <v>1.0</v>
      </c>
      <c r="F46" s="85">
        <v>50.0</v>
      </c>
      <c r="G46" s="86"/>
      <c r="H46" s="85" t="s">
        <v>389</v>
      </c>
      <c r="I46" s="85" t="s">
        <v>88</v>
      </c>
      <c r="J46" s="33" t="s">
        <v>402</v>
      </c>
    </row>
    <row r="47">
      <c r="A47" s="33" t="s">
        <v>407</v>
      </c>
      <c r="B47" s="33">
        <v>7339.0</v>
      </c>
      <c r="C47" s="88" t="b">
        <v>0</v>
      </c>
      <c r="D47" s="33" t="s">
        <v>96</v>
      </c>
      <c r="E47" s="85">
        <v>2.0</v>
      </c>
      <c r="F47" s="85">
        <v>30.0</v>
      </c>
      <c r="G47" s="86"/>
      <c r="H47" s="85" t="s">
        <v>409</v>
      </c>
      <c r="I47" s="132" t="s">
        <v>396</v>
      </c>
      <c r="J47" s="33" t="s">
        <v>402</v>
      </c>
    </row>
    <row r="48">
      <c r="A48" s="51"/>
      <c r="B48" s="52"/>
      <c r="C48" s="52"/>
      <c r="D48" s="52" t="s">
        <v>101</v>
      </c>
      <c r="E48" s="54">
        <f t="shared" ref="E48:F48" si="3">sum(E43:E47)</f>
        <v>6</v>
      </c>
      <c r="F48" s="54">
        <f t="shared" si="3"/>
        <v>340</v>
      </c>
      <c r="G48" s="70">
        <v>126.0</v>
      </c>
      <c r="H48" s="54"/>
      <c r="I48" s="54"/>
      <c r="J48" s="56"/>
    </row>
    <row r="49" ht="7.5" customHeight="1">
      <c r="A49" s="23"/>
      <c r="B49" s="23"/>
      <c r="C49" s="23"/>
      <c r="D49" s="23"/>
      <c r="E49" s="25"/>
      <c r="F49" s="23"/>
      <c r="G49" s="23"/>
      <c r="H49" s="23"/>
      <c r="I49" s="25"/>
      <c r="J49" s="23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30:I30"/>
    <mergeCell ref="A40:I40"/>
    <mergeCell ref="A41:I41"/>
    <mergeCell ref="B6:I6"/>
    <mergeCell ref="B7:I7"/>
    <mergeCell ref="A9:I9"/>
    <mergeCell ref="A10:I10"/>
    <mergeCell ref="A20:I20"/>
    <mergeCell ref="A21:I21"/>
    <mergeCell ref="A29:I29"/>
  </mergeCells>
  <dataValidations>
    <dataValidation type="list" allowBlank="1" sqref="D12:D17 D23:D26 D32:D37 D43:D47">
      <formula1>'Data Validation'!$A$2:$A$5</formula1>
    </dataValidation>
    <dataValidation type="list" allowBlank="1" sqref="E12:E17 E23:E26 E32:E37 E43:E47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1.25" footer="0.0" header="0.0" left="0.7" right="0.7" top="1.25"/>
  <pageSetup fitToHeight="0" paperSize="5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16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8.88"/>
    <col customWidth="1" min="9" max="9" width="29.88"/>
    <col customWidth="1" min="10" max="10" width="28.88"/>
  </cols>
  <sheetData>
    <row r="1" ht="66.75" customHeight="1">
      <c r="A1" s="1" t="s">
        <v>306</v>
      </c>
      <c r="J1" s="2" t="s">
        <v>1</v>
      </c>
    </row>
    <row r="2">
      <c r="A2" s="3" t="s">
        <v>2</v>
      </c>
      <c r="B2" s="5" t="s">
        <v>103</v>
      </c>
      <c r="J2" s="13" t="s">
        <v>6</v>
      </c>
    </row>
    <row r="3">
      <c r="A3" s="3" t="s">
        <v>14</v>
      </c>
      <c r="B3" s="5" t="s">
        <v>315</v>
      </c>
    </row>
    <row r="4">
      <c r="A4" s="3" t="s">
        <v>17</v>
      </c>
      <c r="B4" s="5" t="s">
        <v>316</v>
      </c>
      <c r="J4" s="18" t="s">
        <v>20</v>
      </c>
    </row>
    <row r="5">
      <c r="A5" s="3" t="s">
        <v>26</v>
      </c>
      <c r="B5" s="19">
        <v>4.0</v>
      </c>
      <c r="J5" s="24" t="s">
        <v>30</v>
      </c>
    </row>
    <row r="6">
      <c r="A6" s="3" t="s">
        <v>34</v>
      </c>
      <c r="B6" s="19">
        <v>11.0</v>
      </c>
    </row>
    <row r="7">
      <c r="A7" s="3" t="s">
        <v>36</v>
      </c>
      <c r="B7" s="5" t="s">
        <v>326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33" t="s">
        <v>194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330</v>
      </c>
    </row>
    <row r="12">
      <c r="A12" s="69" t="s">
        <v>331</v>
      </c>
      <c r="B12" s="106">
        <v>1.30222E7</v>
      </c>
      <c r="C12" s="27" t="b">
        <v>1</v>
      </c>
      <c r="D12" s="27" t="s">
        <v>58</v>
      </c>
      <c r="E12" s="37">
        <v>1.0</v>
      </c>
      <c r="F12" s="37">
        <v>150.0</v>
      </c>
      <c r="G12" s="38"/>
      <c r="H12" s="100" t="s">
        <v>333</v>
      </c>
      <c r="I12" s="37"/>
      <c r="J12" s="41"/>
    </row>
    <row r="13">
      <c r="A13" s="111" t="s">
        <v>334</v>
      </c>
      <c r="B13" s="27" t="s">
        <v>201</v>
      </c>
      <c r="C13" s="27" t="b">
        <v>1</v>
      </c>
      <c r="D13" s="27" t="s">
        <v>58</v>
      </c>
      <c r="E13" s="37">
        <v>1.0</v>
      </c>
      <c r="F13" s="37">
        <v>200.0</v>
      </c>
      <c r="G13" s="38"/>
      <c r="H13" s="63" t="s">
        <v>339</v>
      </c>
      <c r="I13" s="37"/>
      <c r="J13" s="45"/>
    </row>
    <row r="14">
      <c r="A14" s="69" t="s">
        <v>194</v>
      </c>
      <c r="B14" s="27">
        <v>1.302265E7</v>
      </c>
      <c r="C14" s="27" t="b">
        <v>1</v>
      </c>
      <c r="D14" s="27" t="s">
        <v>71</v>
      </c>
      <c r="E14" s="37">
        <v>2.0</v>
      </c>
      <c r="F14" s="37">
        <v>150.0</v>
      </c>
      <c r="G14" s="38"/>
      <c r="H14" s="63" t="s">
        <v>339</v>
      </c>
      <c r="I14" s="37"/>
      <c r="J14" s="45" t="s">
        <v>209</v>
      </c>
    </row>
    <row r="15">
      <c r="A15" s="69" t="s">
        <v>194</v>
      </c>
      <c r="B15" s="27">
        <v>1.302265E7</v>
      </c>
      <c r="C15" s="27" t="b">
        <v>1</v>
      </c>
      <c r="D15" s="27" t="s">
        <v>71</v>
      </c>
      <c r="E15" s="37">
        <v>2.0</v>
      </c>
      <c r="F15" s="37">
        <v>150.0</v>
      </c>
      <c r="G15" s="38"/>
      <c r="H15" s="100" t="s">
        <v>333</v>
      </c>
      <c r="I15" s="37"/>
      <c r="J15" s="45" t="s">
        <v>209</v>
      </c>
    </row>
    <row r="16">
      <c r="A16" s="69" t="s">
        <v>194</v>
      </c>
      <c r="B16" s="27">
        <v>1.302265E7</v>
      </c>
      <c r="C16" s="27" t="b">
        <v>1</v>
      </c>
      <c r="D16" s="27" t="s">
        <v>71</v>
      </c>
      <c r="E16" s="37">
        <v>2.0</v>
      </c>
      <c r="F16" s="37">
        <v>150.0</v>
      </c>
      <c r="G16" s="38"/>
      <c r="H16" s="100" t="s">
        <v>333</v>
      </c>
      <c r="I16" s="37"/>
      <c r="J16" s="45" t="s">
        <v>209</v>
      </c>
    </row>
    <row r="17">
      <c r="A17" s="69" t="s">
        <v>211</v>
      </c>
      <c r="B17" s="27">
        <v>1.302277E7</v>
      </c>
      <c r="C17" s="27" t="b">
        <v>1</v>
      </c>
      <c r="D17" s="27" t="s">
        <v>96</v>
      </c>
      <c r="E17" s="37">
        <v>2.0</v>
      </c>
      <c r="F17" s="37">
        <v>100.0</v>
      </c>
      <c r="G17" s="38"/>
      <c r="H17" s="100" t="s">
        <v>333</v>
      </c>
      <c r="I17" s="37"/>
      <c r="J17" s="45" t="s">
        <v>213</v>
      </c>
    </row>
    <row r="18">
      <c r="A18" s="27"/>
      <c r="B18" s="27"/>
      <c r="C18" s="27"/>
      <c r="D18" s="27"/>
      <c r="E18" s="37"/>
      <c r="F18" s="37"/>
      <c r="G18" s="37"/>
      <c r="H18" s="37"/>
      <c r="I18" s="37"/>
      <c r="J18" s="45"/>
    </row>
    <row r="19">
      <c r="A19" s="51"/>
      <c r="B19" s="52"/>
      <c r="C19" s="52"/>
      <c r="D19" s="52" t="s">
        <v>101</v>
      </c>
      <c r="E19" s="54">
        <f t="shared" ref="E19:F19" si="1">sum(E12:E18)</f>
        <v>10</v>
      </c>
      <c r="F19" s="54">
        <f t="shared" si="1"/>
        <v>900</v>
      </c>
      <c r="G19" s="55">
        <f>SUM(G12:G18)</f>
        <v>0</v>
      </c>
      <c r="H19" s="54"/>
      <c r="I19" s="54"/>
      <c r="J19" s="56"/>
    </row>
    <row r="20" ht="7.5" customHeight="1">
      <c r="A20" s="23"/>
      <c r="B20" s="23"/>
      <c r="C20" s="23"/>
      <c r="D20" s="23"/>
      <c r="E20" s="25"/>
      <c r="F20" s="23"/>
      <c r="G20" s="23"/>
      <c r="H20" s="23"/>
      <c r="I20" s="25"/>
      <c r="J20" s="23"/>
    </row>
    <row r="21" ht="18.75" customHeight="1">
      <c r="A21" s="26" t="s">
        <v>135</v>
      </c>
      <c r="J21" s="26"/>
    </row>
    <row r="22" ht="18.75" customHeight="1">
      <c r="A22" s="27" t="s">
        <v>364</v>
      </c>
      <c r="J22" s="27"/>
    </row>
    <row r="23">
      <c r="A23" s="28" t="s">
        <v>41</v>
      </c>
      <c r="B23" s="28" t="s">
        <v>42</v>
      </c>
      <c r="C23" s="29" t="s">
        <v>43</v>
      </c>
      <c r="D23" s="28" t="s">
        <v>46</v>
      </c>
      <c r="E23" s="29" t="s">
        <v>47</v>
      </c>
      <c r="F23" s="29" t="s">
        <v>48</v>
      </c>
      <c r="G23" s="29" t="s">
        <v>49</v>
      </c>
      <c r="H23" s="29" t="s">
        <v>50</v>
      </c>
      <c r="I23" s="29" t="s">
        <v>51</v>
      </c>
      <c r="J23" s="29" t="s">
        <v>370</v>
      </c>
    </row>
    <row r="24">
      <c r="A24" s="33" t="s">
        <v>371</v>
      </c>
      <c r="B24" s="33">
        <v>1.30292E7</v>
      </c>
      <c r="C24" s="33" t="b">
        <v>1</v>
      </c>
      <c r="D24" s="33" t="s">
        <v>58</v>
      </c>
      <c r="E24" s="85">
        <v>1.0</v>
      </c>
      <c r="F24" s="85">
        <v>120.0</v>
      </c>
      <c r="G24" s="86"/>
      <c r="H24" s="85" t="s">
        <v>376</v>
      </c>
      <c r="I24" s="85" t="s">
        <v>88</v>
      </c>
      <c r="J24" s="88"/>
    </row>
    <row r="25">
      <c r="A25" s="33" t="s">
        <v>231</v>
      </c>
      <c r="B25" s="33">
        <v>1.30293E7</v>
      </c>
      <c r="C25" s="33" t="b">
        <v>1</v>
      </c>
      <c r="D25" s="33" t="s">
        <v>71</v>
      </c>
      <c r="E25" s="85">
        <v>1.0</v>
      </c>
      <c r="F25" s="85">
        <v>90.0</v>
      </c>
      <c r="G25" s="86"/>
      <c r="H25" s="85" t="s">
        <v>376</v>
      </c>
      <c r="I25" s="85" t="s">
        <v>88</v>
      </c>
      <c r="J25" s="88"/>
    </row>
    <row r="26">
      <c r="A26" s="33" t="s">
        <v>239</v>
      </c>
      <c r="B26" s="33">
        <v>1.30294E7</v>
      </c>
      <c r="C26" s="33" t="b">
        <v>1</v>
      </c>
      <c r="D26" s="33" t="s">
        <v>82</v>
      </c>
      <c r="E26" s="85">
        <v>1.0</v>
      </c>
      <c r="F26" s="85">
        <v>30.0</v>
      </c>
      <c r="G26" s="86"/>
      <c r="H26" s="85" t="s">
        <v>378</v>
      </c>
      <c r="I26" s="85" t="s">
        <v>380</v>
      </c>
      <c r="J26" s="33" t="s">
        <v>381</v>
      </c>
    </row>
    <row r="27">
      <c r="A27" s="132" t="s">
        <v>382</v>
      </c>
      <c r="B27" s="33">
        <v>1.30301E7</v>
      </c>
      <c r="C27" s="33" t="b">
        <v>1</v>
      </c>
      <c r="D27" s="33" t="s">
        <v>96</v>
      </c>
      <c r="E27" s="85">
        <v>2.0</v>
      </c>
      <c r="F27" s="85">
        <v>30.0</v>
      </c>
      <c r="G27" s="86"/>
      <c r="H27" s="85" t="s">
        <v>378</v>
      </c>
      <c r="I27" s="85" t="s">
        <v>380</v>
      </c>
      <c r="J27" s="88"/>
    </row>
    <row r="28">
      <c r="A28" s="51"/>
      <c r="B28" s="52"/>
      <c r="C28" s="52"/>
      <c r="D28" s="52" t="s">
        <v>101</v>
      </c>
      <c r="E28" s="54">
        <f t="shared" ref="E28:F28" si="2">sum(E24:E27)</f>
        <v>5</v>
      </c>
      <c r="F28" s="54">
        <f t="shared" si="2"/>
        <v>270</v>
      </c>
      <c r="G28" s="55">
        <f>SUM(G24:G27)</f>
        <v>0</v>
      </c>
      <c r="H28" s="54"/>
      <c r="I28" s="54"/>
      <c r="J28" s="56"/>
    </row>
    <row r="29" ht="7.5" customHeight="1">
      <c r="A29" s="23"/>
      <c r="B29" s="23"/>
      <c r="C29" s="23"/>
      <c r="D29" s="23"/>
      <c r="E29" s="25"/>
      <c r="F29" s="23"/>
      <c r="G29" s="23"/>
      <c r="H29" s="23"/>
      <c r="I29" s="25"/>
      <c r="J29" s="23"/>
    </row>
    <row r="30" ht="7.5" customHeight="1">
      <c r="A30" s="23"/>
      <c r="B30" s="23"/>
      <c r="C30" s="23"/>
      <c r="D30" s="23"/>
      <c r="E30" s="25"/>
      <c r="F30" s="23"/>
      <c r="G30" s="23"/>
      <c r="H30" s="23"/>
      <c r="I30" s="25"/>
      <c r="J30" s="23"/>
    </row>
    <row r="31" ht="18.75" customHeight="1">
      <c r="A31" s="26" t="s">
        <v>391</v>
      </c>
      <c r="J31" s="26"/>
    </row>
    <row r="32" ht="18.75" customHeight="1">
      <c r="A32" s="27" t="s">
        <v>394</v>
      </c>
      <c r="J32" s="27"/>
    </row>
    <row r="33">
      <c r="A33" s="28" t="s">
        <v>41</v>
      </c>
      <c r="B33" s="28" t="s">
        <v>42</v>
      </c>
      <c r="C33" s="29" t="s">
        <v>43</v>
      </c>
      <c r="D33" s="28" t="s">
        <v>46</v>
      </c>
      <c r="E33" s="29" t="s">
        <v>47</v>
      </c>
      <c r="F33" s="29" t="s">
        <v>48</v>
      </c>
      <c r="G33" s="29" t="s">
        <v>49</v>
      </c>
      <c r="H33" s="29" t="s">
        <v>50</v>
      </c>
      <c r="I33" s="29" t="s">
        <v>51</v>
      </c>
      <c r="J33" s="29" t="s">
        <v>400</v>
      </c>
    </row>
    <row r="34">
      <c r="A34" s="33" t="s">
        <v>401</v>
      </c>
      <c r="B34" s="33">
        <v>1.30112E7</v>
      </c>
      <c r="C34" s="33" t="b">
        <v>1</v>
      </c>
      <c r="D34" s="33" t="s">
        <v>58</v>
      </c>
      <c r="E34" s="85">
        <v>1.0</v>
      </c>
      <c r="F34" s="85">
        <v>90.0</v>
      </c>
      <c r="G34" s="115"/>
      <c r="H34" s="85" t="s">
        <v>405</v>
      </c>
      <c r="I34" s="136" t="s">
        <v>406</v>
      </c>
      <c r="J34" s="88"/>
    </row>
    <row r="35">
      <c r="A35" s="33" t="s">
        <v>408</v>
      </c>
      <c r="B35" s="33">
        <v>1.30344E7</v>
      </c>
      <c r="C35" s="33" t="b">
        <v>1</v>
      </c>
      <c r="D35" s="33" t="s">
        <v>58</v>
      </c>
      <c r="E35" s="85">
        <v>1.0</v>
      </c>
      <c r="F35" s="85">
        <v>180.0</v>
      </c>
      <c r="G35" s="115"/>
      <c r="H35" s="85" t="s">
        <v>410</v>
      </c>
      <c r="I35" s="136" t="s">
        <v>406</v>
      </c>
      <c r="J35" s="140" t="s">
        <v>411</v>
      </c>
    </row>
    <row r="36" ht="78.75" customHeight="1">
      <c r="A36" s="33" t="s">
        <v>413</v>
      </c>
      <c r="B36" s="33">
        <v>1.30344E7</v>
      </c>
      <c r="C36" s="33" t="b">
        <v>1</v>
      </c>
      <c r="D36" s="33" t="s">
        <v>71</v>
      </c>
      <c r="E36" s="85">
        <v>1.0</v>
      </c>
      <c r="F36" s="85">
        <v>270.0</v>
      </c>
      <c r="G36" s="86"/>
      <c r="H36" s="85" t="s">
        <v>418</v>
      </c>
      <c r="I36" s="85" t="s">
        <v>419</v>
      </c>
      <c r="J36" s="33" t="s">
        <v>75</v>
      </c>
    </row>
    <row r="37">
      <c r="A37" s="33" t="s">
        <v>421</v>
      </c>
      <c r="B37" s="33" t="s">
        <v>422</v>
      </c>
      <c r="C37" s="33" t="b">
        <v>1</v>
      </c>
      <c r="D37" s="33" t="s">
        <v>82</v>
      </c>
      <c r="E37" s="85">
        <v>1.0</v>
      </c>
      <c r="F37" s="85">
        <v>125.0</v>
      </c>
      <c r="G37" s="86"/>
      <c r="H37" s="85" t="s">
        <v>425</v>
      </c>
      <c r="I37" s="85" t="s">
        <v>426</v>
      </c>
      <c r="J37" s="33" t="s">
        <v>75</v>
      </c>
    </row>
    <row r="38">
      <c r="A38" s="33" t="s">
        <v>421</v>
      </c>
      <c r="B38" s="33" t="s">
        <v>422</v>
      </c>
      <c r="C38" s="33" t="b">
        <v>1</v>
      </c>
      <c r="D38" s="33" t="s">
        <v>82</v>
      </c>
      <c r="E38" s="85">
        <v>1.0</v>
      </c>
      <c r="F38" s="85">
        <v>125.0</v>
      </c>
      <c r="G38" s="86"/>
      <c r="H38" s="85" t="s">
        <v>427</v>
      </c>
      <c r="I38" s="85" t="s">
        <v>426</v>
      </c>
      <c r="J38" s="33" t="s">
        <v>75</v>
      </c>
    </row>
    <row r="39">
      <c r="A39" s="33" t="s">
        <v>314</v>
      </c>
      <c r="B39" s="144" t="s">
        <v>429</v>
      </c>
      <c r="C39" s="33" t="b">
        <v>1</v>
      </c>
      <c r="D39" s="33" t="s">
        <v>96</v>
      </c>
      <c r="E39" s="85">
        <v>2.0</v>
      </c>
      <c r="F39" s="85">
        <v>25.0</v>
      </c>
      <c r="G39" s="86"/>
      <c r="H39" s="85" t="s">
        <v>425</v>
      </c>
      <c r="I39" s="85" t="s">
        <v>430</v>
      </c>
      <c r="J39" s="88"/>
    </row>
    <row r="40">
      <c r="A40" s="51"/>
      <c r="B40" s="52"/>
      <c r="C40" s="52"/>
      <c r="D40" s="52" t="s">
        <v>101</v>
      </c>
      <c r="E40" s="54">
        <f t="shared" ref="E40:F40" si="3">sum(E34:E39)</f>
        <v>7</v>
      </c>
      <c r="F40" s="54">
        <f t="shared" si="3"/>
        <v>815</v>
      </c>
      <c r="G40" s="70">
        <v>626.0</v>
      </c>
      <c r="H40" s="54"/>
      <c r="I40" s="54"/>
      <c r="J40" s="56"/>
    </row>
    <row r="41" ht="18.75" customHeight="1">
      <c r="A41" s="26">
        <f>SUM(G34:G40)</f>
        <v>626</v>
      </c>
      <c r="J41" s="26"/>
    </row>
    <row r="42" ht="18.75" customHeight="1">
      <c r="A42" s="27" t="s">
        <v>308</v>
      </c>
      <c r="J42" s="27"/>
    </row>
    <row r="43">
      <c r="A43" s="28" t="s">
        <v>41</v>
      </c>
      <c r="B43" s="28" t="s">
        <v>42</v>
      </c>
      <c r="C43" s="29" t="s">
        <v>43</v>
      </c>
      <c r="D43" s="28" t="s">
        <v>46</v>
      </c>
      <c r="E43" s="29" t="s">
        <v>47</v>
      </c>
      <c r="F43" s="29" t="s">
        <v>48</v>
      </c>
      <c r="G43" s="29" t="s">
        <v>49</v>
      </c>
      <c r="H43" s="29" t="s">
        <v>50</v>
      </c>
      <c r="I43" s="29" t="s">
        <v>51</v>
      </c>
      <c r="J43" s="29" t="s">
        <v>435</v>
      </c>
    </row>
    <row r="44">
      <c r="A44" s="33" t="s">
        <v>401</v>
      </c>
      <c r="B44" s="33">
        <v>1.30112E7</v>
      </c>
      <c r="C44" s="33" t="b">
        <v>1</v>
      </c>
      <c r="D44" s="33" t="s">
        <v>58</v>
      </c>
      <c r="E44" s="85">
        <v>1.0</v>
      </c>
      <c r="F44" s="85">
        <v>90.0</v>
      </c>
      <c r="G44" s="115"/>
      <c r="H44" s="132" t="s">
        <v>405</v>
      </c>
      <c r="I44" s="136" t="s">
        <v>406</v>
      </c>
      <c r="J44" s="88"/>
    </row>
    <row r="45">
      <c r="A45" s="33" t="s">
        <v>408</v>
      </c>
      <c r="B45" s="33">
        <v>1.30344E7</v>
      </c>
      <c r="C45" s="33" t="b">
        <v>1</v>
      </c>
      <c r="D45" s="33" t="s">
        <v>58</v>
      </c>
      <c r="E45" s="85">
        <v>1.0</v>
      </c>
      <c r="F45" s="85">
        <v>90.0</v>
      </c>
      <c r="G45" s="115"/>
      <c r="H45" s="85" t="s">
        <v>405</v>
      </c>
      <c r="I45" s="136" t="s">
        <v>406</v>
      </c>
      <c r="J45" s="140" t="s">
        <v>411</v>
      </c>
    </row>
    <row r="46">
      <c r="A46" s="33" t="s">
        <v>308</v>
      </c>
      <c r="B46" s="33">
        <v>1.30121E7</v>
      </c>
      <c r="C46" s="33" t="b">
        <v>1</v>
      </c>
      <c r="D46" s="33" t="s">
        <v>82</v>
      </c>
      <c r="E46" s="85">
        <v>1.0</v>
      </c>
      <c r="F46" s="85">
        <v>0.0</v>
      </c>
      <c r="G46" s="86"/>
      <c r="H46" s="85" t="s">
        <v>427</v>
      </c>
      <c r="I46" s="117" t="s">
        <v>450</v>
      </c>
      <c r="J46" s="85" t="s">
        <v>454</v>
      </c>
    </row>
    <row r="47">
      <c r="A47" s="51"/>
      <c r="B47" s="52"/>
      <c r="C47" s="52"/>
      <c r="D47" s="52" t="s">
        <v>101</v>
      </c>
      <c r="E47" s="52">
        <f>SUM(E45:E46)</f>
        <v>2</v>
      </c>
      <c r="F47" s="54">
        <f>SUM(F44:F46)</f>
        <v>180</v>
      </c>
      <c r="G47" s="54"/>
      <c r="H47" s="54"/>
      <c r="I47" s="54"/>
      <c r="J47" s="56"/>
    </row>
    <row r="48" ht="18.75" customHeight="1">
      <c r="A48" s="23"/>
      <c r="B48" s="23"/>
      <c r="C48" s="23"/>
      <c r="D48" s="23"/>
      <c r="E48" s="25">
        <f>SUM(E45:E46)</f>
        <v>2</v>
      </c>
      <c r="F48" s="23"/>
      <c r="G48" s="23"/>
      <c r="H48" s="23"/>
      <c r="I48" s="25"/>
      <c r="J48" s="23"/>
    </row>
    <row r="49" ht="31.5" customHeight="1">
      <c r="A49" s="152" t="s">
        <v>205</v>
      </c>
      <c r="J49" s="153"/>
    </row>
    <row r="50" ht="30.75" customHeight="1">
      <c r="A50" s="154" t="s">
        <v>465</v>
      </c>
      <c r="J50" s="155"/>
    </row>
    <row r="51" ht="48.0" customHeight="1">
      <c r="A51" s="156" t="s">
        <v>41</v>
      </c>
      <c r="B51" s="156" t="s">
        <v>42</v>
      </c>
      <c r="C51" s="157" t="s">
        <v>43</v>
      </c>
      <c r="D51" s="156" t="s">
        <v>46</v>
      </c>
      <c r="E51" s="157" t="s">
        <v>47</v>
      </c>
      <c r="F51" s="29" t="s">
        <v>48</v>
      </c>
      <c r="G51" s="29" t="s">
        <v>49</v>
      </c>
      <c r="H51" s="157" t="s">
        <v>50</v>
      </c>
      <c r="I51" s="157" t="s">
        <v>51</v>
      </c>
      <c r="J51" s="157" t="s">
        <v>467</v>
      </c>
    </row>
    <row r="52" ht="26.25" customHeight="1">
      <c r="A52" s="158" t="s">
        <v>468</v>
      </c>
      <c r="B52" s="159" t="s">
        <v>469</v>
      </c>
      <c r="C52" s="161" t="b">
        <v>1</v>
      </c>
      <c r="D52" s="158" t="s">
        <v>96</v>
      </c>
      <c r="E52" s="159">
        <v>2.0</v>
      </c>
      <c r="F52" s="159">
        <v>25.0</v>
      </c>
      <c r="G52" s="162"/>
      <c r="H52" s="159" t="s">
        <v>473</v>
      </c>
      <c r="I52" s="163" t="s">
        <v>474</v>
      </c>
      <c r="J52" s="164" t="s">
        <v>475</v>
      </c>
    </row>
    <row r="53" ht="22.5" customHeight="1">
      <c r="A53" s="126"/>
      <c r="B53" s="126"/>
      <c r="C53" s="126"/>
      <c r="D53" s="126" t="s">
        <v>101</v>
      </c>
      <c r="E53" s="165">
        <f t="shared" ref="E53:F53" si="4">sum(E52)</f>
        <v>2</v>
      </c>
      <c r="F53" s="165">
        <f t="shared" si="4"/>
        <v>25</v>
      </c>
      <c r="G53" s="165"/>
      <c r="H53" s="126"/>
      <c r="I53" s="126"/>
      <c r="J53" s="126"/>
    </row>
    <row r="54" ht="22.5" customHeight="1">
      <c r="A54" s="166"/>
      <c r="B54" s="166"/>
      <c r="C54" s="166"/>
      <c r="D54" s="166"/>
      <c r="E54" s="166"/>
      <c r="F54" s="166"/>
      <c r="G54" s="166"/>
      <c r="H54" s="166"/>
      <c r="I54" s="166"/>
      <c r="J54" s="166"/>
    </row>
    <row r="55" ht="22.5" customHeight="1">
      <c r="A55" s="166"/>
      <c r="B55" s="166"/>
      <c r="C55" s="166"/>
      <c r="D55" s="166"/>
      <c r="E55" s="166"/>
      <c r="F55" s="166"/>
      <c r="G55" s="166"/>
      <c r="H55" s="166"/>
      <c r="I55" s="166"/>
      <c r="J55" s="166"/>
    </row>
  </sheetData>
  <mergeCells count="19">
    <mergeCell ref="A1:I1"/>
    <mergeCell ref="B2:I2"/>
    <mergeCell ref="J2:J3"/>
    <mergeCell ref="B3:I3"/>
    <mergeCell ref="B4:I4"/>
    <mergeCell ref="B5:I5"/>
    <mergeCell ref="J5:J6"/>
    <mergeCell ref="A32:I32"/>
    <mergeCell ref="A41:I41"/>
    <mergeCell ref="A42:I42"/>
    <mergeCell ref="A49:I49"/>
    <mergeCell ref="A50:I50"/>
    <mergeCell ref="B6:I6"/>
    <mergeCell ref="B7:I7"/>
    <mergeCell ref="A9:I9"/>
    <mergeCell ref="A10:I10"/>
    <mergeCell ref="A21:I21"/>
    <mergeCell ref="A22:I22"/>
    <mergeCell ref="A31:I31"/>
  </mergeCells>
  <dataValidations>
    <dataValidation type="list" allowBlank="1" sqref="D12:D18 D24:D27 D34:D39 D44:D46 D52">
      <formula1>'Data Validation'!$A$2:$A$5</formula1>
    </dataValidation>
    <dataValidation type="list" allowBlank="1" sqref="E12:E18 E24:E27 E34:E39 E44:E46 E52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25" footer="0.0" header="0.0" left="0.25" right="0.25" top="0.125"/>
  <pageSetup paperSize="5" cellComments="atEnd" orientation="landscape" pageOrder="overThenDown"/>
  <rowBreaks count="3" manualBreakCount="3">
    <brk man="1"/>
    <brk id="55" man="1"/>
    <brk id="46" man="1"/>
  </rowBreaks>
  <colBreaks count="2" manualBreakCount="2">
    <brk man="1"/>
    <brk id="10" man="1"/>
  </col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/>
      <c r="J1" s="102" t="s">
        <v>1</v>
      </c>
    </row>
    <row r="2">
      <c r="A2" s="3" t="s">
        <v>2</v>
      </c>
      <c r="B2" s="5" t="s">
        <v>107</v>
      </c>
      <c r="J2" s="104" t="s">
        <v>6</v>
      </c>
    </row>
    <row r="3">
      <c r="A3" s="3" t="s">
        <v>14</v>
      </c>
      <c r="B3" s="5" t="s">
        <v>325</v>
      </c>
    </row>
    <row r="4">
      <c r="A4" s="3" t="s">
        <v>17</v>
      </c>
      <c r="B4" s="5" t="s">
        <v>327</v>
      </c>
      <c r="J4" s="105" t="s">
        <v>20</v>
      </c>
    </row>
    <row r="5">
      <c r="A5" s="3" t="s">
        <v>26</v>
      </c>
      <c r="B5" s="19" t="s">
        <v>329</v>
      </c>
      <c r="J5" s="105" t="s">
        <v>30</v>
      </c>
    </row>
    <row r="6">
      <c r="A6" s="3" t="s">
        <v>34</v>
      </c>
      <c r="B6" s="19">
        <v>3.0</v>
      </c>
    </row>
    <row r="7">
      <c r="A7" s="3" t="s">
        <v>36</v>
      </c>
      <c r="B7" s="5" t="s">
        <v>332</v>
      </c>
      <c r="J7" s="107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108"/>
    </row>
    <row r="9" ht="18.75" customHeight="1">
      <c r="A9" s="30" t="s">
        <v>38</v>
      </c>
      <c r="J9" s="109"/>
    </row>
    <row r="10" ht="18.75" customHeight="1">
      <c r="A10" s="101" t="s">
        <v>308</v>
      </c>
      <c r="J10" s="110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113" t="s">
        <v>337</v>
      </c>
    </row>
    <row r="12">
      <c r="A12" s="33" t="s">
        <v>338</v>
      </c>
      <c r="B12" s="33">
        <v>1.30112E7</v>
      </c>
      <c r="C12" s="88" t="b">
        <v>0</v>
      </c>
      <c r="D12" s="114" t="s">
        <v>58</v>
      </c>
      <c r="E12" s="85">
        <v>1.0</v>
      </c>
      <c r="F12" s="85">
        <v>75.0</v>
      </c>
      <c r="G12" s="115"/>
      <c r="H12" s="85" t="s">
        <v>343</v>
      </c>
      <c r="I12" s="117" t="s">
        <v>344</v>
      </c>
      <c r="J12" s="118"/>
    </row>
    <row r="13">
      <c r="A13" s="33" t="s">
        <v>338</v>
      </c>
      <c r="B13" s="33">
        <v>1.30112E7</v>
      </c>
      <c r="C13" s="88" t="b">
        <v>0</v>
      </c>
      <c r="D13" s="114" t="s">
        <v>58</v>
      </c>
      <c r="E13" s="85">
        <v>1.0</v>
      </c>
      <c r="F13" s="85">
        <v>75.0</v>
      </c>
      <c r="G13" s="86"/>
      <c r="H13" s="85" t="s">
        <v>347</v>
      </c>
      <c r="I13" s="117" t="s">
        <v>348</v>
      </c>
      <c r="J13" s="118"/>
    </row>
    <row r="14">
      <c r="A14" s="33" t="s">
        <v>279</v>
      </c>
      <c r="B14" s="33">
        <v>1.301141E7</v>
      </c>
      <c r="C14" s="33" t="b">
        <v>0</v>
      </c>
      <c r="D14" s="33" t="s">
        <v>58</v>
      </c>
      <c r="E14" s="85">
        <v>1.0</v>
      </c>
      <c r="F14" s="85">
        <v>100.0</v>
      </c>
      <c r="G14" s="86"/>
      <c r="H14" s="85" t="s">
        <v>350</v>
      </c>
      <c r="I14" s="85" t="s">
        <v>351</v>
      </c>
      <c r="J14" s="85" t="s">
        <v>352</v>
      </c>
    </row>
    <row r="15">
      <c r="A15" s="33" t="s">
        <v>279</v>
      </c>
      <c r="B15" s="33">
        <v>1.301141E7</v>
      </c>
      <c r="C15" s="33" t="b">
        <v>0</v>
      </c>
      <c r="D15" s="33" t="s">
        <v>58</v>
      </c>
      <c r="E15" s="85">
        <v>1.0</v>
      </c>
      <c r="F15" s="85">
        <v>100.0</v>
      </c>
      <c r="G15" s="115"/>
      <c r="H15" s="85" t="s">
        <v>353</v>
      </c>
      <c r="I15" s="85" t="s">
        <v>351</v>
      </c>
      <c r="J15" s="85" t="s">
        <v>352</v>
      </c>
    </row>
    <row r="16">
      <c r="A16" s="33" t="s">
        <v>354</v>
      </c>
      <c r="B16" s="33">
        <v>1.30115E7</v>
      </c>
      <c r="C16" s="33" t="b">
        <v>1</v>
      </c>
      <c r="D16" s="33" t="s">
        <v>71</v>
      </c>
      <c r="E16" s="85">
        <v>1.0</v>
      </c>
      <c r="F16" s="85">
        <v>230.0</v>
      </c>
      <c r="G16" s="86"/>
      <c r="H16" s="85" t="s">
        <v>353</v>
      </c>
      <c r="I16" s="117" t="s">
        <v>355</v>
      </c>
      <c r="J16" s="85" t="s">
        <v>356</v>
      </c>
    </row>
    <row r="17">
      <c r="A17" s="33" t="s">
        <v>354</v>
      </c>
      <c r="B17" s="33">
        <v>1.30115E7</v>
      </c>
      <c r="C17" s="33" t="b">
        <v>1</v>
      </c>
      <c r="D17" s="33" t="s">
        <v>71</v>
      </c>
      <c r="E17" s="85">
        <v>1.0</v>
      </c>
      <c r="F17" s="85">
        <v>230.0</v>
      </c>
      <c r="G17" s="86"/>
      <c r="H17" s="85" t="s">
        <v>357</v>
      </c>
      <c r="I17" s="117" t="s">
        <v>355</v>
      </c>
      <c r="J17" s="85" t="s">
        <v>356</v>
      </c>
    </row>
    <row r="18">
      <c r="A18" s="33" t="s">
        <v>300</v>
      </c>
      <c r="B18" s="127">
        <v>1.30118E7</v>
      </c>
      <c r="C18" s="88" t="b">
        <v>0</v>
      </c>
      <c r="D18" s="33" t="s">
        <v>82</v>
      </c>
      <c r="E18" s="85">
        <v>0.5</v>
      </c>
      <c r="F18" s="85">
        <v>60.0</v>
      </c>
      <c r="G18" s="85"/>
      <c r="H18" s="128" t="s">
        <v>359</v>
      </c>
      <c r="I18" s="85" t="s">
        <v>88</v>
      </c>
      <c r="J18" s="129"/>
    </row>
    <row r="19">
      <c r="A19" s="33" t="s">
        <v>361</v>
      </c>
      <c r="B19" s="127">
        <v>1.30119E7</v>
      </c>
      <c r="C19" s="88" t="b">
        <v>0</v>
      </c>
      <c r="D19" s="33" t="s">
        <v>82</v>
      </c>
      <c r="E19" s="85">
        <v>0.5</v>
      </c>
      <c r="F19" s="85">
        <v>60.0</v>
      </c>
      <c r="G19" s="85"/>
      <c r="H19" s="128" t="s">
        <v>359</v>
      </c>
      <c r="I19" s="85" t="s">
        <v>88</v>
      </c>
      <c r="J19" s="129"/>
    </row>
    <row r="20">
      <c r="A20" s="33" t="s">
        <v>369</v>
      </c>
      <c r="B20" s="127">
        <v>1.2701305E7</v>
      </c>
      <c r="C20" s="88" t="b">
        <v>0</v>
      </c>
      <c r="D20" s="33" t="s">
        <v>96</v>
      </c>
      <c r="E20" s="85">
        <v>3.0</v>
      </c>
      <c r="F20" s="85">
        <v>30.0</v>
      </c>
      <c r="G20" s="86"/>
      <c r="H20" s="85" t="s">
        <v>347</v>
      </c>
      <c r="I20" s="85" t="s">
        <v>372</v>
      </c>
      <c r="J20" s="129"/>
    </row>
    <row r="21">
      <c r="A21" s="33" t="s">
        <v>373</v>
      </c>
      <c r="B21" s="131">
        <v>1.2701405E7</v>
      </c>
      <c r="C21" s="88" t="b">
        <v>0</v>
      </c>
      <c r="D21" s="33" t="s">
        <v>96</v>
      </c>
      <c r="E21" s="85">
        <v>3.0</v>
      </c>
      <c r="F21" s="85"/>
      <c r="G21" s="86"/>
      <c r="H21" s="85" t="s">
        <v>347</v>
      </c>
      <c r="I21" s="85" t="s">
        <v>372</v>
      </c>
      <c r="J21" s="129"/>
    </row>
    <row r="22">
      <c r="A22" s="51"/>
      <c r="B22" s="52"/>
      <c r="C22" s="52"/>
      <c r="D22" s="52" t="s">
        <v>101</v>
      </c>
      <c r="E22" s="54">
        <f>sum(E12:E21)</f>
        <v>13</v>
      </c>
      <c r="F22" s="54">
        <f>sum(F12:F20)</f>
        <v>960</v>
      </c>
      <c r="G22" s="54"/>
      <c r="H22" s="54"/>
      <c r="I22" s="54"/>
      <c r="J22" s="133"/>
    </row>
    <row r="23" ht="7.5" customHeight="1">
      <c r="A23" s="23"/>
      <c r="B23" s="23"/>
      <c r="C23" s="23"/>
      <c r="D23" s="23"/>
      <c r="E23" s="25"/>
      <c r="F23" s="23"/>
      <c r="G23" s="23"/>
      <c r="H23" s="23"/>
      <c r="I23" s="25"/>
      <c r="J23" s="108"/>
    </row>
    <row r="24" ht="18.75" customHeight="1">
      <c r="A24" s="30" t="s">
        <v>135</v>
      </c>
      <c r="J24" s="109"/>
    </row>
    <row r="25" ht="18.75" customHeight="1">
      <c r="A25" s="134" t="s">
        <v>385</v>
      </c>
      <c r="J25" s="110"/>
    </row>
    <row r="26">
      <c r="A26" s="28" t="s">
        <v>41</v>
      </c>
      <c r="B26" s="28" t="s">
        <v>42</v>
      </c>
      <c r="C26" s="29" t="s">
        <v>43</v>
      </c>
      <c r="D26" s="28" t="s">
        <v>46</v>
      </c>
      <c r="E26" s="29" t="s">
        <v>47</v>
      </c>
      <c r="F26" s="29" t="s">
        <v>48</v>
      </c>
      <c r="G26" s="29" t="s">
        <v>49</v>
      </c>
      <c r="H26" s="29" t="s">
        <v>50</v>
      </c>
      <c r="I26" s="29" t="s">
        <v>51</v>
      </c>
      <c r="J26" s="113" t="s">
        <v>390</v>
      </c>
    </row>
    <row r="27">
      <c r="A27" s="51"/>
      <c r="B27" s="52"/>
      <c r="C27" s="52"/>
      <c r="D27" s="52" t="s">
        <v>101</v>
      </c>
      <c r="E27" s="54" t="str">
        <f t="shared" ref="E27:F27" si="1">sum(#REF!)</f>
        <v>#REF!</v>
      </c>
      <c r="F27" s="54" t="str">
        <f t="shared" si="1"/>
        <v>#REF!</v>
      </c>
      <c r="G27" s="54"/>
      <c r="H27" s="54"/>
      <c r="I27" s="54"/>
      <c r="J27" s="133"/>
    </row>
    <row r="28" ht="7.5" customHeight="1">
      <c r="A28" s="23"/>
      <c r="B28" s="23"/>
      <c r="C28" s="23"/>
      <c r="D28" s="23"/>
      <c r="E28" s="25"/>
      <c r="F28" s="23"/>
      <c r="G28" s="23"/>
      <c r="H28" s="23"/>
      <c r="I28" s="25"/>
      <c r="J28" s="108"/>
    </row>
    <row r="29" ht="18.75" customHeight="1">
      <c r="A29" s="30" t="s">
        <v>111</v>
      </c>
      <c r="J29" s="109"/>
    </row>
    <row r="30" ht="18.75" customHeight="1">
      <c r="A30" s="134" t="s">
        <v>399</v>
      </c>
      <c r="J30" s="110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48</v>
      </c>
      <c r="G31" s="29" t="s">
        <v>49</v>
      </c>
      <c r="H31" s="29" t="s">
        <v>50</v>
      </c>
      <c r="I31" s="29" t="s">
        <v>51</v>
      </c>
      <c r="J31" s="113" t="s">
        <v>404</v>
      </c>
    </row>
    <row r="32">
      <c r="A32" s="79" t="s">
        <v>180</v>
      </c>
      <c r="B32" s="79">
        <v>1.30342E7</v>
      </c>
      <c r="C32" s="135" t="b">
        <v>0</v>
      </c>
      <c r="D32" s="79" t="s">
        <v>82</v>
      </c>
      <c r="E32" s="137">
        <v>0.5</v>
      </c>
      <c r="F32" s="137">
        <v>64.0</v>
      </c>
      <c r="G32" s="137"/>
      <c r="H32" s="138" t="s">
        <v>359</v>
      </c>
      <c r="I32" s="137" t="s">
        <v>88</v>
      </c>
      <c r="J32" s="139"/>
    </row>
    <row r="33">
      <c r="A33" s="79" t="s">
        <v>97</v>
      </c>
      <c r="B33" s="79">
        <v>1.303465E7</v>
      </c>
      <c r="C33" s="135" t="b">
        <v>0</v>
      </c>
      <c r="D33" s="79" t="s">
        <v>82</v>
      </c>
      <c r="E33" s="137">
        <v>0.5</v>
      </c>
      <c r="F33" s="137">
        <v>64.0</v>
      </c>
      <c r="G33" s="137"/>
      <c r="H33" s="138" t="s">
        <v>359</v>
      </c>
      <c r="I33" s="137" t="s">
        <v>88</v>
      </c>
      <c r="J33" s="141" t="s">
        <v>412</v>
      </c>
    </row>
    <row r="34">
      <c r="A34" s="33" t="s">
        <v>414</v>
      </c>
      <c r="B34" s="33" t="s">
        <v>415</v>
      </c>
      <c r="C34" s="88" t="b">
        <v>0</v>
      </c>
      <c r="D34" s="33" t="s">
        <v>82</v>
      </c>
      <c r="E34" s="85">
        <v>2.0</v>
      </c>
      <c r="F34" s="85">
        <v>51.0</v>
      </c>
      <c r="G34" s="86"/>
      <c r="H34" s="85" t="s">
        <v>357</v>
      </c>
      <c r="I34" s="85" t="s">
        <v>420</v>
      </c>
      <c r="J34" s="142"/>
    </row>
    <row r="35">
      <c r="A35" s="51"/>
      <c r="B35" s="52"/>
      <c r="C35" s="52"/>
      <c r="D35" s="52" t="s">
        <v>101</v>
      </c>
      <c r="E35" s="54">
        <f t="shared" ref="E35:F35" si="2">sum(E32:E34)</f>
        <v>3</v>
      </c>
      <c r="F35" s="54">
        <f t="shared" si="2"/>
        <v>179</v>
      </c>
      <c r="G35" s="54"/>
      <c r="H35" s="54"/>
      <c r="I35" s="54"/>
      <c r="J35" s="133"/>
    </row>
    <row r="36" ht="7.5" customHeight="1">
      <c r="A36" s="23"/>
      <c r="B36" s="23"/>
      <c r="C36" s="23"/>
      <c r="D36" s="23"/>
      <c r="E36" s="25"/>
      <c r="F36" s="23"/>
      <c r="G36" s="23"/>
      <c r="H36" s="23"/>
      <c r="I36" s="25"/>
      <c r="J36" s="108"/>
    </row>
    <row r="37" ht="18.75" customHeight="1">
      <c r="A37" s="30" t="s">
        <v>169</v>
      </c>
      <c r="J37" s="109"/>
    </row>
    <row r="38" ht="18.75" customHeight="1">
      <c r="A38" s="143" t="s">
        <v>428</v>
      </c>
      <c r="J38" s="110"/>
    </row>
    <row r="39">
      <c r="A39" s="28" t="s">
        <v>41</v>
      </c>
      <c r="B39" s="28" t="s">
        <v>42</v>
      </c>
      <c r="C39" s="29" t="s">
        <v>43</v>
      </c>
      <c r="D39" s="28" t="s">
        <v>46</v>
      </c>
      <c r="E39" s="29" t="s">
        <v>47</v>
      </c>
      <c r="F39" s="29" t="s">
        <v>48</v>
      </c>
      <c r="G39" s="29" t="s">
        <v>49</v>
      </c>
      <c r="H39" s="29" t="s">
        <v>50</v>
      </c>
      <c r="I39" s="29" t="s">
        <v>51</v>
      </c>
      <c r="J39" s="113" t="s">
        <v>431</v>
      </c>
    </row>
    <row r="40">
      <c r="A40" s="69" t="s">
        <v>267</v>
      </c>
      <c r="B40" s="27" t="s">
        <v>268</v>
      </c>
      <c r="C40" s="34" t="b">
        <v>0</v>
      </c>
      <c r="D40" s="27" t="s">
        <v>82</v>
      </c>
      <c r="E40" s="37">
        <v>1.0</v>
      </c>
      <c r="F40" s="37">
        <v>66.0</v>
      </c>
      <c r="G40" s="38"/>
      <c r="H40" s="63" t="s">
        <v>432</v>
      </c>
      <c r="I40" s="63" t="s">
        <v>152</v>
      </c>
      <c r="J40" s="145" t="s">
        <v>270</v>
      </c>
    </row>
    <row r="41">
      <c r="A41" s="69" t="s">
        <v>433</v>
      </c>
      <c r="B41" s="27" t="s">
        <v>273</v>
      </c>
      <c r="C41" s="34" t="b">
        <v>0</v>
      </c>
      <c r="D41" s="27" t="s">
        <v>96</v>
      </c>
      <c r="E41" s="37">
        <v>1.0</v>
      </c>
      <c r="F41" s="37">
        <v>41.0</v>
      </c>
      <c r="G41" s="38"/>
      <c r="H41" s="63" t="s">
        <v>432</v>
      </c>
      <c r="I41" s="63" t="s">
        <v>152</v>
      </c>
      <c r="J41" s="145" t="s">
        <v>270</v>
      </c>
    </row>
    <row r="42">
      <c r="A42" s="51"/>
      <c r="B42" s="52"/>
      <c r="C42" s="52"/>
      <c r="D42" s="52" t="s">
        <v>101</v>
      </c>
      <c r="E42" s="54">
        <f t="shared" ref="E42:F42" si="3">sum(E40:E41)</f>
        <v>2</v>
      </c>
      <c r="F42" s="54">
        <f t="shared" si="3"/>
        <v>107</v>
      </c>
      <c r="G42" s="70">
        <v>78.0</v>
      </c>
      <c r="H42" s="54"/>
      <c r="I42" s="54"/>
      <c r="J42" s="133"/>
    </row>
    <row r="43" ht="7.5" customHeight="1">
      <c r="A43" s="23"/>
      <c r="B43" s="23"/>
      <c r="C43" s="23"/>
      <c r="D43" s="23"/>
      <c r="E43" s="25"/>
      <c r="F43" s="23"/>
      <c r="G43" s="23"/>
      <c r="H43" s="23"/>
      <c r="I43" s="25"/>
      <c r="J43" s="108"/>
    </row>
    <row r="44" ht="18.75" customHeight="1">
      <c r="A44" s="30" t="s">
        <v>205</v>
      </c>
      <c r="J44" s="109"/>
    </row>
    <row r="45" ht="18.75" customHeight="1">
      <c r="A45" s="112" t="s">
        <v>438</v>
      </c>
      <c r="J45" s="110"/>
    </row>
    <row r="46">
      <c r="A46" s="28" t="s">
        <v>41</v>
      </c>
      <c r="B46" s="28" t="s">
        <v>439</v>
      </c>
      <c r="C46" s="29" t="s">
        <v>43</v>
      </c>
      <c r="D46" s="28" t="s">
        <v>46</v>
      </c>
      <c r="E46" s="29" t="s">
        <v>47</v>
      </c>
      <c r="F46" s="29" t="s">
        <v>48</v>
      </c>
      <c r="G46" s="29" t="s">
        <v>49</v>
      </c>
      <c r="H46" s="29" t="s">
        <v>50</v>
      </c>
      <c r="I46" s="29" t="s">
        <v>51</v>
      </c>
      <c r="J46" s="113" t="s">
        <v>444</v>
      </c>
    </row>
    <row r="47">
      <c r="A47" s="69" t="s">
        <v>145</v>
      </c>
      <c r="B47" s="27" t="s">
        <v>147</v>
      </c>
      <c r="C47" s="34" t="b">
        <v>0</v>
      </c>
      <c r="D47" s="27" t="s">
        <v>58</v>
      </c>
      <c r="E47" s="37">
        <v>1.0</v>
      </c>
      <c r="F47" s="37">
        <v>75.0</v>
      </c>
      <c r="G47" s="38"/>
      <c r="H47" s="63" t="s">
        <v>446</v>
      </c>
      <c r="I47" s="63" t="s">
        <v>447</v>
      </c>
      <c r="J47" s="148" t="s">
        <v>153</v>
      </c>
    </row>
    <row r="48">
      <c r="A48" s="69" t="s">
        <v>449</v>
      </c>
      <c r="B48" s="27">
        <v>1.30376E7</v>
      </c>
      <c r="C48" s="27" t="b">
        <v>1</v>
      </c>
      <c r="D48" s="27" t="s">
        <v>71</v>
      </c>
      <c r="E48" s="37">
        <v>1.0</v>
      </c>
      <c r="F48" s="37">
        <v>34.0</v>
      </c>
      <c r="G48" s="38"/>
      <c r="H48" s="63" t="s">
        <v>451</v>
      </c>
      <c r="I48" s="63" t="s">
        <v>447</v>
      </c>
      <c r="J48" s="151"/>
    </row>
    <row r="49">
      <c r="A49" s="69" t="s">
        <v>455</v>
      </c>
      <c r="B49" s="27">
        <v>1.30375E7</v>
      </c>
      <c r="C49" s="27" t="b">
        <v>1</v>
      </c>
      <c r="D49" s="27" t="s">
        <v>71</v>
      </c>
      <c r="E49" s="37">
        <v>1.0</v>
      </c>
      <c r="F49" s="37">
        <v>54.0</v>
      </c>
      <c r="G49" s="38"/>
      <c r="H49" s="63" t="s">
        <v>446</v>
      </c>
      <c r="I49" s="63" t="s">
        <v>447</v>
      </c>
      <c r="J49" s="151"/>
    </row>
    <row r="50">
      <c r="A50" s="69" t="s">
        <v>457</v>
      </c>
      <c r="B50" s="27" t="s">
        <v>175</v>
      </c>
      <c r="C50" s="34" t="b">
        <v>0</v>
      </c>
      <c r="D50" s="27" t="s">
        <v>82</v>
      </c>
      <c r="E50" s="37">
        <v>1.0</v>
      </c>
      <c r="F50" s="37">
        <v>28.0</v>
      </c>
      <c r="G50" s="38"/>
      <c r="H50" s="63" t="s">
        <v>451</v>
      </c>
      <c r="I50" s="63" t="s">
        <v>447</v>
      </c>
      <c r="J50" s="148" t="s">
        <v>165</v>
      </c>
    </row>
    <row r="51">
      <c r="A51" s="69" t="s">
        <v>460</v>
      </c>
      <c r="B51" s="27" t="s">
        <v>461</v>
      </c>
      <c r="C51" s="34" t="b">
        <v>0</v>
      </c>
      <c r="D51" s="27" t="s">
        <v>82</v>
      </c>
      <c r="E51" s="37">
        <v>1.0</v>
      </c>
      <c r="F51" s="37">
        <v>28.0</v>
      </c>
      <c r="G51" s="38"/>
      <c r="H51" s="63" t="s">
        <v>446</v>
      </c>
      <c r="I51" s="63" t="s">
        <v>447</v>
      </c>
      <c r="J51" s="148"/>
    </row>
    <row r="52">
      <c r="A52" s="69" t="s">
        <v>463</v>
      </c>
      <c r="B52" s="27" t="s">
        <v>464</v>
      </c>
      <c r="C52" s="34" t="b">
        <v>0</v>
      </c>
      <c r="D52" s="27" t="s">
        <v>82</v>
      </c>
      <c r="E52" s="37">
        <v>1.0</v>
      </c>
      <c r="F52" s="37">
        <v>28.0</v>
      </c>
      <c r="G52" s="38"/>
      <c r="H52" s="63" t="s">
        <v>451</v>
      </c>
      <c r="I52" s="63" t="s">
        <v>447</v>
      </c>
      <c r="J52" s="148" t="s">
        <v>466</v>
      </c>
    </row>
    <row r="53">
      <c r="A53" s="51"/>
      <c r="B53" s="52"/>
      <c r="C53" s="52"/>
      <c r="D53" s="52" t="s">
        <v>101</v>
      </c>
      <c r="E53" s="54">
        <f t="shared" ref="E53:F53" si="4">sum(E47:E52)</f>
        <v>6</v>
      </c>
      <c r="F53" s="54">
        <f t="shared" si="4"/>
        <v>247</v>
      </c>
      <c r="G53" s="70">
        <v>139.0</v>
      </c>
      <c r="H53" s="54"/>
      <c r="I53" s="54"/>
      <c r="J53" s="133"/>
    </row>
  </sheetData>
  <mergeCells count="19">
    <mergeCell ref="A1:I1"/>
    <mergeCell ref="B2:I2"/>
    <mergeCell ref="J2:J3"/>
    <mergeCell ref="B3:I3"/>
    <mergeCell ref="B4:I4"/>
    <mergeCell ref="B5:I5"/>
    <mergeCell ref="J5:J6"/>
    <mergeCell ref="A30:I30"/>
    <mergeCell ref="A37:I37"/>
    <mergeCell ref="A38:I38"/>
    <mergeCell ref="A44:I44"/>
    <mergeCell ref="A45:I45"/>
    <mergeCell ref="B6:I6"/>
    <mergeCell ref="B7:I7"/>
    <mergeCell ref="A9:I9"/>
    <mergeCell ref="A10:I10"/>
    <mergeCell ref="A24:I24"/>
    <mergeCell ref="A25:I25"/>
    <mergeCell ref="A29:I29"/>
  </mergeCells>
  <dataValidations>
    <dataValidation type="list" allowBlank="1" sqref="D12:D21 D32:D34 D40:D41 D47:D52">
      <formula1>'Data Validation'!$A$2:$A$5</formula1>
    </dataValidation>
    <dataValidation type="list" allowBlank="1" sqref="E12:E21 E32:E34 E40:E41 E47:E52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paperSize="5" cellComments="atEnd" orientation="landscape" pageOrder="overThenDown"/>
  <rowBreaks count="2" manualBreakCount="2">
    <brk id="53" man="1"/>
    <brk id="26" man="1"/>
  </rowBreaks>
  <colBreaks count="2" manualBreakCount="2">
    <brk man="1"/>
    <brk id="10" man="1"/>
  </colBrea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53.75"/>
  </cols>
  <sheetData>
    <row r="1" ht="66.75" customHeight="1">
      <c r="A1" s="1" t="s">
        <v>319</v>
      </c>
      <c r="J1" s="2" t="s">
        <v>1</v>
      </c>
    </row>
    <row r="2">
      <c r="A2" s="3" t="s">
        <v>2</v>
      </c>
      <c r="B2" s="5" t="s">
        <v>124</v>
      </c>
      <c r="J2" s="13" t="s">
        <v>6</v>
      </c>
    </row>
    <row r="3">
      <c r="A3" s="3" t="s">
        <v>14</v>
      </c>
      <c r="B3" s="5" t="s">
        <v>341</v>
      </c>
    </row>
    <row r="4">
      <c r="A4" s="3" t="s">
        <v>17</v>
      </c>
      <c r="B4" s="5" t="s">
        <v>345</v>
      </c>
      <c r="J4" s="18" t="s">
        <v>20</v>
      </c>
    </row>
    <row r="5">
      <c r="A5" s="3" t="s">
        <v>26</v>
      </c>
      <c r="B5" s="19">
        <v>2.0</v>
      </c>
      <c r="J5" s="24" t="s">
        <v>30</v>
      </c>
    </row>
    <row r="6">
      <c r="A6" s="3" t="s">
        <v>34</v>
      </c>
      <c r="B6" s="19">
        <v>1.0</v>
      </c>
    </row>
    <row r="7">
      <c r="A7" s="3" t="s">
        <v>36</v>
      </c>
      <c r="B7" s="5" t="s">
        <v>257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38</v>
      </c>
      <c r="J9" s="26"/>
    </row>
    <row r="10" ht="21.75" customHeight="1">
      <c r="A10" s="27" t="s">
        <v>360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365</v>
      </c>
    </row>
    <row r="12">
      <c r="A12" s="33" t="s">
        <v>366</v>
      </c>
      <c r="B12" s="33">
        <v>1.30082E7</v>
      </c>
      <c r="C12" s="88" t="b">
        <v>0</v>
      </c>
      <c r="D12" s="33" t="s">
        <v>58</v>
      </c>
      <c r="E12" s="85">
        <v>1.0</v>
      </c>
      <c r="F12" s="85">
        <v>20.0</v>
      </c>
      <c r="G12" s="86"/>
      <c r="H12" s="85" t="s">
        <v>374</v>
      </c>
      <c r="I12" s="85" t="s">
        <v>88</v>
      </c>
      <c r="J12" s="88"/>
    </row>
    <row r="13" hidden="1">
      <c r="A13" s="33" t="s">
        <v>375</v>
      </c>
      <c r="B13" s="33">
        <v>3580610.0</v>
      </c>
      <c r="C13" s="33" t="b">
        <v>0</v>
      </c>
      <c r="D13" s="33" t="s">
        <v>58</v>
      </c>
      <c r="E13" s="85">
        <v>1.0</v>
      </c>
      <c r="F13" s="85"/>
      <c r="G13" s="85"/>
      <c r="H13" s="85" t="s">
        <v>374</v>
      </c>
      <c r="I13" s="85" t="s">
        <v>88</v>
      </c>
      <c r="J13" s="88"/>
    </row>
    <row r="14" hidden="1">
      <c r="A14" s="33" t="s">
        <v>375</v>
      </c>
      <c r="B14" s="33">
        <v>3580610.0</v>
      </c>
      <c r="C14" s="33" t="b">
        <v>0</v>
      </c>
      <c r="D14" s="33" t="s">
        <v>58</v>
      </c>
      <c r="E14" s="85">
        <v>1.0</v>
      </c>
      <c r="F14" s="85"/>
      <c r="G14" s="86"/>
      <c r="H14" s="85" t="s">
        <v>374</v>
      </c>
      <c r="I14" s="85" t="s">
        <v>88</v>
      </c>
      <c r="J14" s="88"/>
    </row>
    <row r="15" hidden="1">
      <c r="A15" s="33" t="s">
        <v>379</v>
      </c>
      <c r="B15" s="33">
        <v>1.30099E7</v>
      </c>
      <c r="C15" s="33" t="b">
        <v>0</v>
      </c>
      <c r="D15" s="33" t="s">
        <v>58</v>
      </c>
      <c r="E15" s="85">
        <v>0.5</v>
      </c>
      <c r="F15" s="85"/>
      <c r="G15" s="86"/>
      <c r="H15" s="85" t="s">
        <v>374</v>
      </c>
      <c r="I15" s="85" t="s">
        <v>88</v>
      </c>
      <c r="J15" s="88"/>
    </row>
    <row r="16" hidden="1">
      <c r="A16" s="33" t="s">
        <v>383</v>
      </c>
      <c r="B16" s="33">
        <v>3580810.0</v>
      </c>
      <c r="C16" s="33" t="b">
        <v>0</v>
      </c>
      <c r="D16" s="33" t="s">
        <v>58</v>
      </c>
      <c r="E16" s="85">
        <v>0.5</v>
      </c>
      <c r="F16" s="85"/>
      <c r="G16" s="86"/>
      <c r="H16" s="85" t="s">
        <v>374</v>
      </c>
      <c r="I16" s="85" t="s">
        <v>88</v>
      </c>
      <c r="J16" s="88"/>
    </row>
    <row r="17">
      <c r="A17" s="33" t="s">
        <v>384</v>
      </c>
      <c r="B17" s="33">
        <v>1.300995E7</v>
      </c>
      <c r="C17" s="33" t="b">
        <v>0</v>
      </c>
      <c r="D17" s="33" t="s">
        <v>71</v>
      </c>
      <c r="E17" s="85">
        <v>1.0</v>
      </c>
      <c r="F17" s="85"/>
      <c r="G17" s="86"/>
      <c r="H17" s="85" t="s">
        <v>374</v>
      </c>
      <c r="I17" s="85" t="s">
        <v>88</v>
      </c>
      <c r="J17" s="88"/>
    </row>
    <row r="18">
      <c r="A18" s="33" t="s">
        <v>388</v>
      </c>
      <c r="B18" s="33">
        <v>1.300996E7</v>
      </c>
      <c r="C18" s="33" t="b">
        <v>0</v>
      </c>
      <c r="D18" s="33" t="s">
        <v>82</v>
      </c>
      <c r="E18" s="85">
        <v>1.0</v>
      </c>
      <c r="F18" s="85"/>
      <c r="G18" s="86"/>
      <c r="H18" s="85" t="s">
        <v>374</v>
      </c>
      <c r="I18" s="85" t="s">
        <v>88</v>
      </c>
      <c r="J18" s="33" t="s">
        <v>392</v>
      </c>
    </row>
    <row r="19" hidden="1">
      <c r="A19" s="27" t="s">
        <v>393</v>
      </c>
      <c r="B19" s="27">
        <v>1.30087E7</v>
      </c>
      <c r="C19" s="34" t="b">
        <v>0</v>
      </c>
      <c r="D19" s="27" t="s">
        <v>96</v>
      </c>
      <c r="E19" s="37">
        <v>2.0</v>
      </c>
      <c r="F19" s="37">
        <v>20.0</v>
      </c>
      <c r="G19" s="37">
        <v>2.0</v>
      </c>
      <c r="H19" s="37" t="s">
        <v>397</v>
      </c>
      <c r="I19" s="37" t="s">
        <v>398</v>
      </c>
      <c r="J19" s="45" t="s">
        <v>392</v>
      </c>
    </row>
    <row r="20">
      <c r="A20" s="51"/>
      <c r="B20" s="52"/>
      <c r="C20" s="52"/>
      <c r="D20" s="52" t="s">
        <v>101</v>
      </c>
      <c r="E20" s="54">
        <f t="shared" ref="E20:F20" si="1">sum(E12:E19)</f>
        <v>8</v>
      </c>
      <c r="F20" s="54">
        <f t="shared" si="1"/>
        <v>40</v>
      </c>
      <c r="G20" s="54"/>
      <c r="H20" s="54"/>
      <c r="I20" s="54"/>
      <c r="J20" s="56"/>
    </row>
    <row r="21" ht="7.5" customHeight="1">
      <c r="A21" s="23"/>
      <c r="B21" s="23"/>
      <c r="C21" s="23"/>
      <c r="D21" s="23"/>
      <c r="E21" s="25"/>
      <c r="F21" s="23"/>
      <c r="G21" s="23"/>
      <c r="H21" s="23"/>
      <c r="I21" s="25"/>
      <c r="J21" s="23"/>
    </row>
    <row r="22" ht="18.75" customHeight="1">
      <c r="A22" s="30" t="s">
        <v>135</v>
      </c>
      <c r="J22" s="26"/>
    </row>
    <row r="23" ht="18.75" customHeight="1">
      <c r="A23" s="33" t="s">
        <v>194</v>
      </c>
      <c r="J23" s="27"/>
    </row>
    <row r="24">
      <c r="A24" s="28" t="s">
        <v>41</v>
      </c>
      <c r="B24" s="28" t="s">
        <v>42</v>
      </c>
      <c r="C24" s="29" t="s">
        <v>43</v>
      </c>
      <c r="D24" s="28" t="s">
        <v>46</v>
      </c>
      <c r="E24" s="29" t="s">
        <v>47</v>
      </c>
      <c r="F24" s="29" t="s">
        <v>48</v>
      </c>
      <c r="G24" s="29" t="s">
        <v>49</v>
      </c>
      <c r="H24" s="29" t="s">
        <v>50</v>
      </c>
      <c r="I24" s="29" t="s">
        <v>51</v>
      </c>
      <c r="J24" s="29" t="s">
        <v>416</v>
      </c>
    </row>
    <row r="25">
      <c r="A25" s="69" t="s">
        <v>417</v>
      </c>
      <c r="B25" s="27">
        <v>1.302255E7</v>
      </c>
      <c r="C25" s="34" t="b">
        <v>0</v>
      </c>
      <c r="D25" s="27" t="s">
        <v>58</v>
      </c>
      <c r="E25" s="37">
        <v>1.0</v>
      </c>
      <c r="F25" s="37">
        <v>25.0</v>
      </c>
      <c r="G25" s="38"/>
      <c r="H25" s="63" t="s">
        <v>423</v>
      </c>
      <c r="I25" s="63" t="s">
        <v>424</v>
      </c>
      <c r="J25" s="45"/>
    </row>
    <row r="26">
      <c r="A26" s="69" t="s">
        <v>194</v>
      </c>
      <c r="B26" s="27" t="s">
        <v>201</v>
      </c>
      <c r="C26" s="27" t="b">
        <v>0</v>
      </c>
      <c r="D26" s="27" t="s">
        <v>71</v>
      </c>
      <c r="E26" s="37">
        <v>2.0</v>
      </c>
      <c r="F26" s="37">
        <v>25.0</v>
      </c>
      <c r="G26" s="38"/>
      <c r="H26" s="63" t="s">
        <v>423</v>
      </c>
      <c r="I26" s="63" t="s">
        <v>424</v>
      </c>
      <c r="J26" s="45" t="s">
        <v>209</v>
      </c>
    </row>
    <row r="27">
      <c r="A27" s="69" t="s">
        <v>204</v>
      </c>
      <c r="B27" s="27">
        <v>1.302265E7</v>
      </c>
      <c r="C27" s="27" t="b">
        <v>1</v>
      </c>
      <c r="D27" s="27" t="s">
        <v>82</v>
      </c>
      <c r="E27" s="37">
        <v>2.0</v>
      </c>
      <c r="F27" s="37">
        <v>25.0</v>
      </c>
      <c r="G27" s="38"/>
      <c r="H27" s="63" t="s">
        <v>423</v>
      </c>
      <c r="I27" s="63" t="s">
        <v>424</v>
      </c>
      <c r="J27" s="45" t="s">
        <v>213</v>
      </c>
    </row>
    <row r="28">
      <c r="A28" s="27"/>
      <c r="B28" s="27"/>
      <c r="C28" s="34"/>
      <c r="D28" s="27"/>
      <c r="E28" s="37"/>
      <c r="F28" s="37"/>
      <c r="G28" s="37"/>
      <c r="H28" s="37"/>
      <c r="I28" s="37"/>
      <c r="J28" s="45"/>
    </row>
    <row r="29">
      <c r="A29" s="51"/>
      <c r="B29" s="52"/>
      <c r="C29" s="52"/>
      <c r="D29" s="52" t="s">
        <v>101</v>
      </c>
      <c r="E29" s="54">
        <f t="shared" ref="E29:G29" si="2">sum(E25:E28)</f>
        <v>5</v>
      </c>
      <c r="F29" s="54">
        <f t="shared" si="2"/>
        <v>75</v>
      </c>
      <c r="G29" s="55">
        <f t="shared" si="2"/>
        <v>0</v>
      </c>
      <c r="H29" s="54"/>
      <c r="I29" s="54"/>
      <c r="J29" s="56"/>
    </row>
    <row r="30" ht="7.5" customHeight="1">
      <c r="A30" s="23"/>
      <c r="B30" s="23"/>
      <c r="C30" s="23"/>
      <c r="D30" s="23"/>
      <c r="E30" s="25"/>
      <c r="F30" s="23"/>
      <c r="G30" s="23"/>
      <c r="H30" s="23"/>
      <c r="I30" s="25"/>
      <c r="J30" s="23"/>
    </row>
    <row r="31" ht="18.75" customHeight="1">
      <c r="A31" s="30" t="s">
        <v>111</v>
      </c>
      <c r="J31" s="26"/>
    </row>
    <row r="32" ht="18.75" customHeight="1">
      <c r="A32" s="27" t="s">
        <v>434</v>
      </c>
      <c r="J32" s="27"/>
    </row>
    <row r="33">
      <c r="A33" s="28" t="s">
        <v>41</v>
      </c>
      <c r="B33" s="28" t="s">
        <v>42</v>
      </c>
      <c r="C33" s="29" t="s">
        <v>43</v>
      </c>
      <c r="D33" s="28" t="s">
        <v>46</v>
      </c>
      <c r="E33" s="29" t="s">
        <v>47</v>
      </c>
      <c r="F33" s="29" t="s">
        <v>48</v>
      </c>
      <c r="G33" s="29" t="s">
        <v>49</v>
      </c>
      <c r="H33" s="29" t="s">
        <v>50</v>
      </c>
      <c r="I33" s="29" t="s">
        <v>51</v>
      </c>
      <c r="J33" s="29" t="s">
        <v>436</v>
      </c>
    </row>
    <row r="34">
      <c r="A34" s="85" t="s">
        <v>437</v>
      </c>
      <c r="B34" s="33">
        <v>1.30162E7</v>
      </c>
      <c r="C34" s="33"/>
      <c r="D34" s="33" t="s">
        <v>58</v>
      </c>
      <c r="E34" s="33"/>
      <c r="F34" s="33"/>
      <c r="G34" s="146"/>
      <c r="H34" s="33" t="s">
        <v>440</v>
      </c>
      <c r="I34" s="33" t="s">
        <v>441</v>
      </c>
      <c r="J34" s="33"/>
    </row>
    <row r="35">
      <c r="A35" s="33" t="s">
        <v>443</v>
      </c>
      <c r="B35" s="33"/>
      <c r="C35" s="33"/>
      <c r="D35" s="33" t="s">
        <v>71</v>
      </c>
      <c r="E35" s="33">
        <v>1.0</v>
      </c>
      <c r="F35" s="33"/>
      <c r="G35" s="146"/>
      <c r="H35" s="33" t="s">
        <v>440</v>
      </c>
      <c r="I35" s="147"/>
      <c r="J35" s="33" t="s">
        <v>448</v>
      </c>
    </row>
    <row r="36">
      <c r="A36" s="91" t="s">
        <v>279</v>
      </c>
      <c r="B36" s="91">
        <v>1.30114E7</v>
      </c>
      <c r="C36" s="91"/>
      <c r="D36" s="91" t="s">
        <v>58</v>
      </c>
      <c r="E36" s="91">
        <v>1.0</v>
      </c>
      <c r="F36" s="91"/>
      <c r="G36" s="149"/>
      <c r="H36" s="91" t="s">
        <v>440</v>
      </c>
      <c r="I36" s="150" t="s">
        <v>452</v>
      </c>
      <c r="J36" s="91" t="s">
        <v>453</v>
      </c>
    </row>
    <row r="37">
      <c r="A37" s="91" t="s">
        <v>279</v>
      </c>
      <c r="B37" s="91">
        <v>1.30114E7</v>
      </c>
      <c r="C37" s="91"/>
      <c r="D37" s="91" t="s">
        <v>58</v>
      </c>
      <c r="E37" s="91">
        <v>1.0</v>
      </c>
      <c r="F37" s="91"/>
      <c r="G37" s="149"/>
      <c r="H37" s="91" t="s">
        <v>456</v>
      </c>
      <c r="I37" s="150" t="s">
        <v>452</v>
      </c>
      <c r="J37" s="91" t="s">
        <v>453</v>
      </c>
    </row>
    <row r="38">
      <c r="A38" s="33" t="s">
        <v>308</v>
      </c>
      <c r="B38" s="33">
        <v>1.30121E7</v>
      </c>
      <c r="C38" s="33"/>
      <c r="D38" s="33" t="s">
        <v>82</v>
      </c>
      <c r="E38" s="33">
        <v>1.0</v>
      </c>
      <c r="F38" s="33"/>
      <c r="G38" s="146"/>
      <c r="H38" s="33" t="s">
        <v>458</v>
      </c>
      <c r="I38" s="85" t="s">
        <v>459</v>
      </c>
      <c r="J38" s="33" t="s">
        <v>313</v>
      </c>
    </row>
    <row r="39">
      <c r="A39" s="33" t="s">
        <v>290</v>
      </c>
      <c r="B39" s="33">
        <v>1.3012E7</v>
      </c>
      <c r="C39" s="33"/>
      <c r="D39" s="33" t="s">
        <v>71</v>
      </c>
      <c r="E39" s="33">
        <v>0.5</v>
      </c>
      <c r="F39" s="33"/>
      <c r="G39" s="146"/>
      <c r="H39" s="33" t="s">
        <v>458</v>
      </c>
      <c r="I39" s="85" t="s">
        <v>459</v>
      </c>
      <c r="J39" s="33"/>
    </row>
    <row r="40">
      <c r="A40" s="33" t="s">
        <v>300</v>
      </c>
      <c r="B40" s="33">
        <v>1.30118E7</v>
      </c>
      <c r="C40" s="33"/>
      <c r="D40" s="33" t="s">
        <v>82</v>
      </c>
      <c r="E40" s="33">
        <v>0.5</v>
      </c>
      <c r="F40" s="33"/>
      <c r="G40" s="146"/>
      <c r="H40" s="33" t="s">
        <v>458</v>
      </c>
      <c r="I40" s="85" t="s">
        <v>459</v>
      </c>
      <c r="J40" s="33"/>
    </row>
    <row r="41">
      <c r="A41" s="51"/>
      <c r="B41" s="52"/>
      <c r="C41" s="52"/>
      <c r="D41" s="52" t="s">
        <v>101</v>
      </c>
      <c r="E41" s="54">
        <f t="shared" ref="E41:G41" si="3">sum(E34:E40)</f>
        <v>5</v>
      </c>
      <c r="F41" s="54">
        <f t="shared" si="3"/>
        <v>0</v>
      </c>
      <c r="G41" s="55">
        <f t="shared" si="3"/>
        <v>0</v>
      </c>
      <c r="H41" s="54"/>
      <c r="I41" s="54"/>
      <c r="J41" s="56"/>
    </row>
    <row r="42" ht="7.5" customHeight="1">
      <c r="A42" s="23"/>
      <c r="B42" s="23"/>
      <c r="C42" s="23"/>
      <c r="D42" s="23"/>
      <c r="E42" s="25"/>
      <c r="F42" s="23"/>
      <c r="G42" s="23"/>
      <c r="H42" s="160" t="s">
        <v>470</v>
      </c>
      <c r="I42" s="25"/>
      <c r="J42" s="23"/>
    </row>
  </sheetData>
  <mergeCells count="15">
    <mergeCell ref="B6:I6"/>
    <mergeCell ref="B7:I7"/>
    <mergeCell ref="A9:I9"/>
    <mergeCell ref="A10:I10"/>
    <mergeCell ref="A22:I22"/>
    <mergeCell ref="A23:I23"/>
    <mergeCell ref="A31:I31"/>
    <mergeCell ref="A32:I32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9 D25:D28 D34:D40">
      <formula1>'Data Validation'!$A$2:$A$5</formula1>
    </dataValidation>
    <dataValidation type="list" allowBlank="1" sqref="E12:E19 E25:E28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25" footer="0.0" header="0.0" left="0.7" right="0.7" top="0.25"/>
  <pageSetup fitToHeight="0" paperSize="5" cellComments="atEnd" orientation="landscape" pageOrder="overThenDown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>
        <v>-3.0</v>
      </c>
      <c r="J1" s="102" t="s">
        <v>1</v>
      </c>
    </row>
    <row r="2">
      <c r="A2" s="3" t="s">
        <v>2</v>
      </c>
      <c r="B2" s="5" t="s">
        <v>110</v>
      </c>
      <c r="J2" s="104" t="s">
        <v>6</v>
      </c>
    </row>
    <row r="3">
      <c r="A3" s="3" t="s">
        <v>14</v>
      </c>
      <c r="B3" s="5" t="s">
        <v>442</v>
      </c>
    </row>
    <row r="4">
      <c r="A4" s="3" t="s">
        <v>17</v>
      </c>
      <c r="B4" s="5" t="s">
        <v>445</v>
      </c>
      <c r="J4" s="105" t="s">
        <v>20</v>
      </c>
    </row>
    <row r="5">
      <c r="A5" s="3" t="s">
        <v>26</v>
      </c>
      <c r="B5" s="19">
        <v>4.0</v>
      </c>
      <c r="J5" s="105" t="s">
        <v>30</v>
      </c>
    </row>
    <row r="6">
      <c r="A6" s="3" t="s">
        <v>34</v>
      </c>
      <c r="B6" s="19">
        <v>4.0</v>
      </c>
    </row>
    <row r="7">
      <c r="A7" s="3" t="s">
        <v>36</v>
      </c>
      <c r="B7" s="19" t="s">
        <v>462</v>
      </c>
      <c r="J7" s="107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108"/>
    </row>
    <row r="9" ht="18.75" customHeight="1">
      <c r="A9" s="30" t="s">
        <v>38</v>
      </c>
      <c r="J9" s="109"/>
    </row>
    <row r="10" ht="18.75" customHeight="1">
      <c r="A10" s="33" t="s">
        <v>194</v>
      </c>
      <c r="J10" s="110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113" t="s">
        <v>471</v>
      </c>
    </row>
    <row r="12">
      <c r="A12" s="69" t="s">
        <v>472</v>
      </c>
      <c r="B12" s="27">
        <v>1.302255E7</v>
      </c>
      <c r="C12" s="27" t="b">
        <v>1</v>
      </c>
      <c r="D12" s="27" t="s">
        <v>58</v>
      </c>
      <c r="E12" s="37">
        <v>1.0</v>
      </c>
      <c r="F12" s="37">
        <v>150.0</v>
      </c>
      <c r="G12" s="38"/>
      <c r="H12" s="63" t="s">
        <v>476</v>
      </c>
      <c r="I12" s="63" t="s">
        <v>323</v>
      </c>
      <c r="J12" s="145"/>
    </row>
    <row r="13">
      <c r="A13" s="69" t="s">
        <v>472</v>
      </c>
      <c r="B13" s="27">
        <v>1.302255E7</v>
      </c>
      <c r="C13" s="27" t="b">
        <v>1</v>
      </c>
      <c r="D13" s="27" t="s">
        <v>58</v>
      </c>
      <c r="E13" s="37">
        <v>1.0</v>
      </c>
      <c r="F13" s="37">
        <v>150.0</v>
      </c>
      <c r="G13" s="38"/>
      <c r="H13" s="63" t="s">
        <v>477</v>
      </c>
      <c r="I13" s="63" t="s">
        <v>88</v>
      </c>
      <c r="J13" s="145"/>
    </row>
    <row r="14">
      <c r="A14" s="69" t="s">
        <v>194</v>
      </c>
      <c r="B14" s="27" t="s">
        <v>478</v>
      </c>
      <c r="C14" s="27" t="b">
        <v>1</v>
      </c>
      <c r="D14" s="27" t="s">
        <v>71</v>
      </c>
      <c r="E14" s="37">
        <v>1.0</v>
      </c>
      <c r="F14" s="37">
        <v>100.0</v>
      </c>
      <c r="G14" s="38"/>
      <c r="H14" s="63" t="s">
        <v>477</v>
      </c>
      <c r="I14" s="63" t="s">
        <v>88</v>
      </c>
      <c r="J14" s="145" t="s">
        <v>480</v>
      </c>
    </row>
    <row r="15">
      <c r="A15" s="69" t="s">
        <v>204</v>
      </c>
      <c r="B15" s="27">
        <v>1.302265E7</v>
      </c>
      <c r="C15" s="27" t="b">
        <v>1</v>
      </c>
      <c r="D15" s="27" t="s">
        <v>82</v>
      </c>
      <c r="E15" s="37">
        <v>2.0</v>
      </c>
      <c r="F15" s="37">
        <v>75.0</v>
      </c>
      <c r="G15" s="38"/>
      <c r="H15" s="63" t="s">
        <v>477</v>
      </c>
      <c r="I15" s="63" t="s">
        <v>88</v>
      </c>
      <c r="J15" s="145" t="s">
        <v>209</v>
      </c>
    </row>
    <row r="16">
      <c r="A16" s="69" t="s">
        <v>204</v>
      </c>
      <c r="B16" s="27">
        <v>1.302265E7</v>
      </c>
      <c r="C16" s="27" t="b">
        <v>1</v>
      </c>
      <c r="D16" s="27" t="s">
        <v>82</v>
      </c>
      <c r="E16" s="37">
        <v>2.0</v>
      </c>
      <c r="F16" s="37">
        <v>75.0</v>
      </c>
      <c r="G16" s="38"/>
      <c r="H16" s="63" t="s">
        <v>476</v>
      </c>
      <c r="I16" s="63" t="s">
        <v>323</v>
      </c>
      <c r="J16" s="145" t="s">
        <v>209</v>
      </c>
    </row>
    <row r="17">
      <c r="A17" s="69" t="s">
        <v>211</v>
      </c>
      <c r="B17" s="27">
        <v>1.30227E7</v>
      </c>
      <c r="C17" s="27" t="b">
        <v>1</v>
      </c>
      <c r="D17" s="27" t="s">
        <v>96</v>
      </c>
      <c r="E17" s="37">
        <v>2.0</v>
      </c>
      <c r="F17" s="37">
        <v>25.0</v>
      </c>
      <c r="G17" s="38"/>
      <c r="H17" s="63" t="s">
        <v>476</v>
      </c>
      <c r="I17" s="63" t="s">
        <v>323</v>
      </c>
      <c r="J17" s="145" t="s">
        <v>480</v>
      </c>
    </row>
    <row r="18">
      <c r="A18" s="167"/>
      <c r="B18" s="167"/>
      <c r="C18" s="167"/>
      <c r="D18" s="167"/>
      <c r="E18" s="167"/>
      <c r="F18" s="167"/>
      <c r="G18" s="167"/>
      <c r="H18" s="167"/>
      <c r="I18" s="167"/>
      <c r="J18" s="151"/>
    </row>
    <row r="19">
      <c r="A19" s="51"/>
      <c r="B19" s="52"/>
      <c r="C19" s="52"/>
      <c r="D19" s="52" t="s">
        <v>101</v>
      </c>
      <c r="E19" s="54">
        <f t="shared" ref="E19:G19" si="1">sum(E12:E17)</f>
        <v>9</v>
      </c>
      <c r="F19" s="54">
        <f t="shared" si="1"/>
        <v>575</v>
      </c>
      <c r="G19" s="169">
        <f t="shared" si="1"/>
        <v>0</v>
      </c>
      <c r="H19" s="54"/>
      <c r="I19" s="54"/>
      <c r="J19" s="133"/>
    </row>
    <row r="20" ht="7.5" customHeight="1">
      <c r="A20" s="23"/>
      <c r="B20" s="23"/>
      <c r="C20" s="23"/>
      <c r="D20" s="23"/>
      <c r="E20" s="25"/>
      <c r="F20" s="23"/>
      <c r="G20" s="23"/>
      <c r="H20" s="23"/>
      <c r="I20" s="25"/>
      <c r="J20" s="108"/>
    </row>
    <row r="21" ht="18.75" customHeight="1">
      <c r="A21" s="26" t="s">
        <v>487</v>
      </c>
      <c r="J21" s="109"/>
    </row>
    <row r="22" ht="18.75" customHeight="1">
      <c r="A22" s="27" t="s">
        <v>78</v>
      </c>
      <c r="J22" s="110"/>
    </row>
    <row r="23">
      <c r="A23" s="28" t="s">
        <v>41</v>
      </c>
      <c r="B23" s="28" t="s">
        <v>42</v>
      </c>
      <c r="C23" s="29" t="s">
        <v>43</v>
      </c>
      <c r="D23" s="28" t="s">
        <v>46</v>
      </c>
      <c r="E23" s="29" t="s">
        <v>47</v>
      </c>
      <c r="F23" s="29" t="s">
        <v>48</v>
      </c>
      <c r="G23" s="29" t="s">
        <v>49</v>
      </c>
      <c r="H23" s="29" t="s">
        <v>50</v>
      </c>
      <c r="I23" s="29" t="s">
        <v>51</v>
      </c>
      <c r="J23" s="113" t="s">
        <v>488</v>
      </c>
    </row>
    <row r="24">
      <c r="A24" s="33" t="s">
        <v>489</v>
      </c>
      <c r="B24" s="33">
        <v>1.30112E7</v>
      </c>
      <c r="C24" s="33" t="b">
        <v>1</v>
      </c>
      <c r="D24" s="33" t="s">
        <v>58</v>
      </c>
      <c r="E24" s="85">
        <v>1.0</v>
      </c>
      <c r="F24" s="85">
        <v>75.0</v>
      </c>
      <c r="G24" s="115"/>
      <c r="H24" s="85" t="s">
        <v>493</v>
      </c>
      <c r="I24" s="85" t="s">
        <v>494</v>
      </c>
      <c r="J24" s="172"/>
    </row>
    <row r="25">
      <c r="A25" s="33" t="s">
        <v>413</v>
      </c>
      <c r="B25" s="33">
        <v>1.30344E7</v>
      </c>
      <c r="C25" s="33" t="b">
        <v>1</v>
      </c>
      <c r="D25" s="33" t="s">
        <v>71</v>
      </c>
      <c r="E25" s="85">
        <v>1.0</v>
      </c>
      <c r="F25" s="85">
        <v>50.0</v>
      </c>
      <c r="G25" s="86"/>
      <c r="H25" s="85" t="s">
        <v>496</v>
      </c>
      <c r="I25" s="85" t="s">
        <v>497</v>
      </c>
      <c r="J25" s="142" t="s">
        <v>75</v>
      </c>
    </row>
    <row r="26">
      <c r="A26" s="33" t="s">
        <v>413</v>
      </c>
      <c r="B26" s="33">
        <v>1.30344E7</v>
      </c>
      <c r="C26" s="33" t="b">
        <v>1</v>
      </c>
      <c r="D26" s="33" t="s">
        <v>71</v>
      </c>
      <c r="E26" s="85">
        <v>1.0</v>
      </c>
      <c r="F26" s="85">
        <v>50.0</v>
      </c>
      <c r="G26" s="86"/>
      <c r="H26" s="85" t="s">
        <v>498</v>
      </c>
      <c r="I26" s="85" t="s">
        <v>497</v>
      </c>
      <c r="J26" s="142" t="s">
        <v>75</v>
      </c>
    </row>
    <row r="27">
      <c r="A27" s="33" t="s">
        <v>310</v>
      </c>
      <c r="B27" s="33">
        <v>1.2701305E7</v>
      </c>
      <c r="C27" s="33" t="b">
        <v>1</v>
      </c>
      <c r="D27" s="33" t="s">
        <v>82</v>
      </c>
      <c r="E27" s="173">
        <v>2.0</v>
      </c>
      <c r="F27" s="85">
        <v>25.0</v>
      </c>
      <c r="G27" s="86"/>
      <c r="H27" s="85" t="s">
        <v>502</v>
      </c>
      <c r="I27" s="85" t="s">
        <v>88</v>
      </c>
      <c r="J27" s="142" t="s">
        <v>75</v>
      </c>
    </row>
    <row r="28">
      <c r="A28" s="33" t="s">
        <v>369</v>
      </c>
      <c r="B28" s="33">
        <v>1.2701305E7</v>
      </c>
      <c r="C28" s="33" t="b">
        <v>1</v>
      </c>
      <c r="D28" s="33" t="s">
        <v>96</v>
      </c>
      <c r="E28" s="85">
        <v>3.0</v>
      </c>
      <c r="F28" s="85">
        <v>25.0</v>
      </c>
      <c r="G28" s="86"/>
      <c r="H28" s="85" t="s">
        <v>496</v>
      </c>
      <c r="I28" s="85" t="s">
        <v>88</v>
      </c>
      <c r="J28" s="172"/>
    </row>
    <row r="29">
      <c r="A29" s="27"/>
      <c r="B29" s="175"/>
      <c r="C29" s="175"/>
      <c r="D29" s="175"/>
      <c r="E29" s="176"/>
      <c r="F29" s="176"/>
      <c r="G29" s="176"/>
      <c r="H29" s="176"/>
      <c r="I29" s="176"/>
      <c r="J29" s="151"/>
    </row>
    <row r="30">
      <c r="A30" s="51"/>
      <c r="B30" s="52"/>
      <c r="C30" s="52"/>
      <c r="D30" s="52" t="s">
        <v>101</v>
      </c>
      <c r="E30" s="54">
        <f t="shared" ref="E30:F30" si="2">sum(E24:E29)</f>
        <v>8</v>
      </c>
      <c r="F30" s="54">
        <f t="shared" si="2"/>
        <v>225</v>
      </c>
      <c r="G30" s="54"/>
      <c r="H30" s="54"/>
      <c r="I30" s="54"/>
      <c r="J30" s="133"/>
    </row>
    <row r="31" ht="7.5" customHeight="1">
      <c r="A31" s="23"/>
      <c r="B31" s="23"/>
      <c r="C31" s="23"/>
      <c r="D31" s="23"/>
      <c r="E31" s="25"/>
      <c r="F31" s="23"/>
      <c r="G31" s="23"/>
      <c r="H31" s="23"/>
      <c r="I31" s="25"/>
      <c r="J31" s="108"/>
    </row>
    <row r="32" ht="18.75" customHeight="1">
      <c r="A32" s="30" t="s">
        <v>111</v>
      </c>
      <c r="J32" s="109"/>
    </row>
    <row r="33" ht="18.75" customHeight="1">
      <c r="A33" s="27" t="s">
        <v>523</v>
      </c>
      <c r="J33" s="110"/>
    </row>
    <row r="34">
      <c r="A34" s="28" t="s">
        <v>41</v>
      </c>
      <c r="B34" s="28" t="s">
        <v>42</v>
      </c>
      <c r="C34" s="29" t="s">
        <v>43</v>
      </c>
      <c r="D34" s="28" t="s">
        <v>46</v>
      </c>
      <c r="E34" s="29" t="s">
        <v>47</v>
      </c>
      <c r="F34" s="29" t="s">
        <v>48</v>
      </c>
      <c r="G34" s="29" t="s">
        <v>49</v>
      </c>
      <c r="H34" s="29" t="s">
        <v>50</v>
      </c>
      <c r="I34" s="29" t="s">
        <v>51</v>
      </c>
      <c r="J34" s="113" t="s">
        <v>525</v>
      </c>
    </row>
    <row r="35">
      <c r="A35" s="33" t="s">
        <v>489</v>
      </c>
      <c r="B35" s="183">
        <v>1.30112E7</v>
      </c>
      <c r="C35" s="183" t="b">
        <v>1</v>
      </c>
      <c r="D35" s="183" t="s">
        <v>58</v>
      </c>
      <c r="E35" s="173">
        <v>1.0</v>
      </c>
      <c r="F35" s="85">
        <v>75.0</v>
      </c>
      <c r="G35" s="115"/>
      <c r="H35" s="85" t="s">
        <v>493</v>
      </c>
      <c r="I35" s="85" t="s">
        <v>494</v>
      </c>
      <c r="J35" s="129"/>
    </row>
    <row r="36">
      <c r="A36" s="33" t="s">
        <v>67</v>
      </c>
      <c r="B36" s="33" t="s">
        <v>70</v>
      </c>
      <c r="C36" s="33" t="b">
        <v>1</v>
      </c>
      <c r="D36" s="33" t="s">
        <v>71</v>
      </c>
      <c r="E36" s="85">
        <v>1.0</v>
      </c>
      <c r="F36" s="85">
        <v>50.0</v>
      </c>
      <c r="G36" s="86"/>
      <c r="H36" s="85" t="s">
        <v>493</v>
      </c>
      <c r="I36" s="85" t="s">
        <v>531</v>
      </c>
      <c r="J36" s="85" t="s">
        <v>75</v>
      </c>
    </row>
    <row r="37">
      <c r="A37" s="33" t="s">
        <v>97</v>
      </c>
      <c r="B37" s="33">
        <v>1.303465E7</v>
      </c>
      <c r="C37" s="33" t="b">
        <v>1</v>
      </c>
      <c r="D37" s="33" t="s">
        <v>82</v>
      </c>
      <c r="E37" s="85">
        <v>0.5</v>
      </c>
      <c r="F37" s="85">
        <v>25.0</v>
      </c>
      <c r="G37" s="86"/>
      <c r="H37" s="85" t="s">
        <v>493</v>
      </c>
      <c r="I37" s="85" t="s">
        <v>531</v>
      </c>
      <c r="J37" s="85" t="s">
        <v>99</v>
      </c>
    </row>
    <row r="38">
      <c r="A38" s="33" t="s">
        <v>180</v>
      </c>
      <c r="B38" s="33">
        <v>1.30342E7</v>
      </c>
      <c r="C38" s="33" t="b">
        <v>1</v>
      </c>
      <c r="D38" s="33" t="s">
        <v>82</v>
      </c>
      <c r="E38" s="85">
        <v>0.5</v>
      </c>
      <c r="F38" s="85">
        <v>25.0</v>
      </c>
      <c r="G38" s="86"/>
      <c r="H38" s="85" t="s">
        <v>493</v>
      </c>
      <c r="I38" s="85" t="s">
        <v>531</v>
      </c>
      <c r="J38" s="129"/>
    </row>
    <row r="39">
      <c r="A39" s="33" t="s">
        <v>542</v>
      </c>
      <c r="B39" s="33">
        <v>1.30347E7</v>
      </c>
      <c r="C39" s="33" t="b">
        <v>1</v>
      </c>
      <c r="D39" s="33" t="s">
        <v>96</v>
      </c>
      <c r="E39" s="85">
        <v>2.0</v>
      </c>
      <c r="F39" s="85">
        <v>25.0</v>
      </c>
      <c r="G39" s="86"/>
      <c r="H39" s="85" t="s">
        <v>493</v>
      </c>
      <c r="I39" s="85" t="s">
        <v>547</v>
      </c>
      <c r="J39" s="129"/>
    </row>
    <row r="40">
      <c r="A40" s="33" t="s">
        <v>548</v>
      </c>
      <c r="B40" s="33">
        <v>1.2701305E7</v>
      </c>
      <c r="C40" s="183" t="b">
        <v>1</v>
      </c>
      <c r="D40" s="183" t="s">
        <v>96</v>
      </c>
      <c r="E40" s="173">
        <v>2.0</v>
      </c>
      <c r="F40" s="85">
        <v>25.0</v>
      </c>
      <c r="G40" s="86"/>
      <c r="H40" s="85" t="s">
        <v>496</v>
      </c>
      <c r="I40" s="85" t="s">
        <v>494</v>
      </c>
      <c r="J40" s="172"/>
    </row>
    <row r="41">
      <c r="A41" s="51"/>
      <c r="B41" s="52"/>
      <c r="C41" s="52"/>
      <c r="D41" s="52" t="s">
        <v>101</v>
      </c>
      <c r="E41" s="54">
        <f t="shared" ref="E41:F41" si="3">sum(E35:E40)</f>
        <v>7</v>
      </c>
      <c r="F41" s="54">
        <f t="shared" si="3"/>
        <v>225</v>
      </c>
      <c r="G41" s="54"/>
      <c r="H41" s="54"/>
      <c r="I41" s="54"/>
      <c r="J41" s="133"/>
    </row>
    <row r="42" ht="7.5" customHeight="1">
      <c r="A42" s="23"/>
      <c r="B42" s="23"/>
      <c r="C42" s="23"/>
      <c r="D42" s="23"/>
      <c r="E42" s="25"/>
      <c r="F42" s="23"/>
      <c r="G42" s="23"/>
      <c r="H42" s="23"/>
      <c r="I42" s="25"/>
      <c r="J42" s="108"/>
    </row>
    <row r="43" ht="18.75" customHeight="1">
      <c r="A43" s="30" t="s">
        <v>169</v>
      </c>
      <c r="J43" s="109"/>
    </row>
    <row r="44" ht="18.75" customHeight="1">
      <c r="A44" s="33" t="s">
        <v>560</v>
      </c>
      <c r="J44" s="110"/>
    </row>
    <row r="45">
      <c r="A45" s="28" t="s">
        <v>41</v>
      </c>
      <c r="B45" s="28" t="s">
        <v>42</v>
      </c>
      <c r="C45" s="29" t="s">
        <v>43</v>
      </c>
      <c r="D45" s="28" t="s">
        <v>46</v>
      </c>
      <c r="E45" s="29" t="s">
        <v>47</v>
      </c>
      <c r="F45" s="29" t="s">
        <v>48</v>
      </c>
      <c r="G45" s="29" t="s">
        <v>49</v>
      </c>
      <c r="H45" s="29" t="s">
        <v>50</v>
      </c>
      <c r="I45" s="29" t="s">
        <v>51</v>
      </c>
      <c r="J45" s="113" t="s">
        <v>565</v>
      </c>
    </row>
    <row r="46">
      <c r="A46" s="69" t="s">
        <v>566</v>
      </c>
      <c r="B46" s="27" t="s">
        <v>567</v>
      </c>
      <c r="C46" s="27" t="b">
        <v>1</v>
      </c>
      <c r="D46" s="27" t="s">
        <v>82</v>
      </c>
      <c r="E46" s="37">
        <v>1.0</v>
      </c>
      <c r="F46" s="37">
        <v>50.0</v>
      </c>
      <c r="G46" s="38"/>
      <c r="H46" s="63" t="s">
        <v>498</v>
      </c>
      <c r="I46" s="63" t="s">
        <v>547</v>
      </c>
      <c r="J46" s="148" t="s">
        <v>153</v>
      </c>
    </row>
    <row r="47">
      <c r="A47" s="69" t="s">
        <v>576</v>
      </c>
      <c r="B47" s="27">
        <v>1.30376E7</v>
      </c>
      <c r="C47" s="27" t="b">
        <v>1</v>
      </c>
      <c r="D47" s="27" t="s">
        <v>82</v>
      </c>
      <c r="E47" s="37">
        <v>1.0</v>
      </c>
      <c r="F47" s="37">
        <v>50.0</v>
      </c>
      <c r="G47" s="38"/>
      <c r="H47" s="63" t="s">
        <v>498</v>
      </c>
      <c r="I47" s="63" t="s">
        <v>547</v>
      </c>
      <c r="J47" s="145"/>
    </row>
    <row r="48">
      <c r="A48" s="69" t="s">
        <v>581</v>
      </c>
      <c r="B48" s="27">
        <v>1.30372E7</v>
      </c>
      <c r="C48" s="27" t="b">
        <v>1</v>
      </c>
      <c r="D48" s="27" t="s">
        <v>96</v>
      </c>
      <c r="E48" s="37">
        <v>1.0</v>
      </c>
      <c r="F48" s="37">
        <v>50.0</v>
      </c>
      <c r="G48" s="38"/>
      <c r="H48" s="63" t="s">
        <v>584</v>
      </c>
      <c r="I48" s="63" t="s">
        <v>585</v>
      </c>
      <c r="J48" s="145"/>
    </row>
    <row r="49">
      <c r="A49" s="51"/>
      <c r="B49" s="52"/>
      <c r="C49" s="52"/>
      <c r="D49" s="52" t="s">
        <v>101</v>
      </c>
      <c r="E49" s="54">
        <f t="shared" ref="E49:F49" si="4">sum(E46:E48)</f>
        <v>3</v>
      </c>
      <c r="F49" s="54">
        <f t="shared" si="4"/>
        <v>150</v>
      </c>
      <c r="G49" s="70"/>
      <c r="H49" s="54"/>
      <c r="I49" s="54"/>
      <c r="J49" s="133"/>
    </row>
    <row r="50" ht="7.5" customHeight="1">
      <c r="A50" s="23"/>
      <c r="B50" s="23"/>
      <c r="C50" s="23"/>
      <c r="D50" s="23"/>
      <c r="E50" s="25"/>
      <c r="F50" s="23"/>
      <c r="G50" s="23"/>
      <c r="H50" s="23"/>
      <c r="I50" s="25"/>
      <c r="J50" s="108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33:I33"/>
    <mergeCell ref="A43:I43"/>
    <mergeCell ref="A44:I44"/>
    <mergeCell ref="B6:I6"/>
    <mergeCell ref="B7:I7"/>
    <mergeCell ref="A9:I9"/>
    <mergeCell ref="A10:I10"/>
    <mergeCell ref="A21:I21"/>
    <mergeCell ref="A22:I22"/>
    <mergeCell ref="A32:I32"/>
  </mergeCells>
  <dataValidations>
    <dataValidation type="list" allowBlank="1" sqref="D12:D17 D24:D29 D35:D40 D46:D48">
      <formula1>'Data Validation'!$A$2:$A$5</formula1>
    </dataValidation>
    <dataValidation type="list" allowBlank="1" sqref="E12:E17 E24:E29 E35:E40 E46:E48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1" width="39.5"/>
  </cols>
  <sheetData>
    <row r="1" ht="66.75" customHeight="1">
      <c r="A1" s="1" t="s">
        <v>479</v>
      </c>
      <c r="J1" s="2" t="s">
        <v>1</v>
      </c>
      <c r="K1" s="2"/>
    </row>
    <row r="2">
      <c r="A2" s="3" t="s">
        <v>2</v>
      </c>
      <c r="B2" s="5" t="s">
        <v>134</v>
      </c>
      <c r="J2" s="13" t="s">
        <v>6</v>
      </c>
      <c r="K2" s="168"/>
    </row>
    <row r="3">
      <c r="A3" s="3" t="s">
        <v>14</v>
      </c>
      <c r="B3" s="5" t="s">
        <v>482</v>
      </c>
      <c r="K3" s="168"/>
    </row>
    <row r="4">
      <c r="A4" s="3" t="s">
        <v>17</v>
      </c>
      <c r="B4" s="5" t="s">
        <v>483</v>
      </c>
      <c r="J4" s="18" t="s">
        <v>20</v>
      </c>
      <c r="K4" s="170"/>
    </row>
    <row r="5">
      <c r="A5" s="3" t="s">
        <v>26</v>
      </c>
      <c r="B5" s="19">
        <v>3.0</v>
      </c>
      <c r="J5" s="24" t="s">
        <v>30</v>
      </c>
      <c r="K5" s="171"/>
    </row>
    <row r="6">
      <c r="A6" s="3" t="s">
        <v>34</v>
      </c>
      <c r="B6" s="19">
        <v>1.0</v>
      </c>
      <c r="K6" s="171"/>
    </row>
    <row r="7">
      <c r="A7" s="3" t="s">
        <v>36</v>
      </c>
      <c r="B7" s="5" t="s">
        <v>491</v>
      </c>
      <c r="J7" s="22"/>
      <c r="K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  <c r="K8" s="23"/>
    </row>
    <row r="9" ht="18.75" customHeight="1">
      <c r="A9" s="26" t="s">
        <v>495</v>
      </c>
      <c r="J9" s="26"/>
      <c r="K9" s="26"/>
    </row>
    <row r="10" ht="18.75" customHeight="1">
      <c r="A10" s="27"/>
      <c r="J10" s="27"/>
      <c r="K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500</v>
      </c>
      <c r="K11" s="29"/>
    </row>
    <row r="12">
      <c r="A12" s="33" t="s">
        <v>501</v>
      </c>
      <c r="B12" s="33">
        <v>1.30292E7</v>
      </c>
      <c r="C12" s="88" t="b">
        <v>0</v>
      </c>
      <c r="D12" s="33" t="s">
        <v>58</v>
      </c>
      <c r="E12" s="85">
        <v>1.0</v>
      </c>
      <c r="F12" s="85">
        <v>90.0</v>
      </c>
      <c r="G12" s="86"/>
      <c r="H12" s="85" t="s">
        <v>506</v>
      </c>
      <c r="I12" s="85" t="s">
        <v>507</v>
      </c>
      <c r="J12" s="88"/>
      <c r="K12" s="88"/>
    </row>
    <row r="13">
      <c r="A13" s="33" t="s">
        <v>231</v>
      </c>
      <c r="B13" s="177">
        <v>1.30293E7</v>
      </c>
      <c r="C13" s="33" t="b">
        <v>1</v>
      </c>
      <c r="D13" s="33" t="s">
        <v>71</v>
      </c>
      <c r="E13" s="85">
        <v>1.0</v>
      </c>
      <c r="F13" s="85">
        <v>60.0</v>
      </c>
      <c r="G13" s="86"/>
      <c r="H13" s="85" t="s">
        <v>506</v>
      </c>
      <c r="I13" s="85" t="s">
        <v>507</v>
      </c>
      <c r="J13" s="88"/>
      <c r="K13" s="88"/>
    </row>
    <row r="14">
      <c r="A14" s="33" t="s">
        <v>239</v>
      </c>
      <c r="B14" s="177">
        <v>1.30294E7</v>
      </c>
      <c r="C14" s="33" t="b">
        <v>1</v>
      </c>
      <c r="D14" s="33" t="s">
        <v>82</v>
      </c>
      <c r="E14" s="85">
        <v>1.0</v>
      </c>
      <c r="F14" s="85">
        <v>60.0</v>
      </c>
      <c r="G14" s="86"/>
      <c r="H14" s="85" t="s">
        <v>506</v>
      </c>
      <c r="I14" s="85" t="s">
        <v>507</v>
      </c>
      <c r="J14" s="33" t="s">
        <v>242</v>
      </c>
      <c r="K14" s="33"/>
    </row>
    <row r="15">
      <c r="A15" s="33" t="s">
        <v>243</v>
      </c>
      <c r="B15" s="177">
        <v>1.30295E7</v>
      </c>
      <c r="C15" s="33" t="b">
        <v>1</v>
      </c>
      <c r="D15" s="33" t="s">
        <v>96</v>
      </c>
      <c r="E15" s="85">
        <v>1.0</v>
      </c>
      <c r="F15" s="85">
        <v>30.0</v>
      </c>
      <c r="G15" s="86"/>
      <c r="H15" s="85" t="s">
        <v>519</v>
      </c>
      <c r="I15" s="85" t="s">
        <v>520</v>
      </c>
      <c r="J15" s="88"/>
      <c r="K15" s="88"/>
    </row>
    <row r="16">
      <c r="A16" s="33"/>
      <c r="B16" s="27"/>
      <c r="C16" s="34" t="b">
        <v>0</v>
      </c>
      <c r="D16" s="27"/>
      <c r="E16" s="37"/>
      <c r="F16" s="76"/>
      <c r="G16" s="76"/>
      <c r="H16" s="37"/>
      <c r="I16" s="37"/>
      <c r="J16" s="41"/>
      <c r="K16" s="41"/>
    </row>
    <row r="17">
      <c r="A17" s="51"/>
      <c r="B17" s="52"/>
      <c r="C17" s="52"/>
      <c r="D17" s="52" t="s">
        <v>101</v>
      </c>
      <c r="E17" s="54">
        <f t="shared" ref="E17:F17" si="1">sum(E12:E16)</f>
        <v>4</v>
      </c>
      <c r="F17" s="54">
        <f t="shared" si="1"/>
        <v>240</v>
      </c>
      <c r="G17" s="70">
        <v>104.0</v>
      </c>
      <c r="H17" s="54"/>
      <c r="I17" s="54"/>
      <c r="J17" s="56"/>
      <c r="K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  <c r="K18" s="23"/>
    </row>
    <row r="19" ht="18.75" customHeight="1">
      <c r="A19" s="26" t="s">
        <v>527</v>
      </c>
      <c r="J19" s="26"/>
      <c r="K19" s="26"/>
    </row>
    <row r="20" ht="18.75" customHeight="1">
      <c r="A20" s="27"/>
      <c r="J20" s="27"/>
      <c r="K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530</v>
      </c>
      <c r="K21" s="29"/>
    </row>
    <row r="22">
      <c r="A22" s="33" t="s">
        <v>532</v>
      </c>
      <c r="B22" s="177">
        <v>1.30112E7</v>
      </c>
      <c r="C22" s="88" t="b">
        <v>0</v>
      </c>
      <c r="D22" s="33" t="s">
        <v>58</v>
      </c>
      <c r="E22" s="85">
        <v>1.0</v>
      </c>
      <c r="F22" s="85">
        <v>120.0</v>
      </c>
      <c r="G22" s="86"/>
      <c r="H22" s="85" t="s">
        <v>535</v>
      </c>
      <c r="I22" s="85" t="s">
        <v>88</v>
      </c>
      <c r="J22" s="88"/>
      <c r="K22" s="88"/>
    </row>
    <row r="23">
      <c r="A23" s="33" t="s">
        <v>539</v>
      </c>
      <c r="B23" s="185">
        <v>1.30166E7</v>
      </c>
      <c r="C23" s="33" t="b">
        <v>0</v>
      </c>
      <c r="D23" s="33" t="s">
        <v>71</v>
      </c>
      <c r="E23" s="85">
        <v>1.0</v>
      </c>
      <c r="F23" s="85">
        <v>90.0</v>
      </c>
      <c r="G23" s="86"/>
      <c r="H23" s="85" t="s">
        <v>544</v>
      </c>
      <c r="I23" s="85" t="s">
        <v>545</v>
      </c>
      <c r="J23" s="33" t="s">
        <v>546</v>
      </c>
      <c r="K23" s="33"/>
    </row>
    <row r="24">
      <c r="A24" s="33" t="s">
        <v>127</v>
      </c>
      <c r="B24" s="185">
        <v>1.30168E7</v>
      </c>
      <c r="C24" s="33" t="b">
        <v>0</v>
      </c>
      <c r="D24" s="33" t="s">
        <v>82</v>
      </c>
      <c r="E24" s="85">
        <v>1.0</v>
      </c>
      <c r="F24" s="85">
        <v>90.0</v>
      </c>
      <c r="G24" s="86"/>
      <c r="H24" s="85" t="s">
        <v>544</v>
      </c>
      <c r="I24" s="85" t="s">
        <v>545</v>
      </c>
      <c r="J24" s="33" t="s">
        <v>546</v>
      </c>
      <c r="K24" s="33"/>
    </row>
    <row r="25">
      <c r="A25" s="33" t="s">
        <v>550</v>
      </c>
      <c r="B25" s="185" t="s">
        <v>429</v>
      </c>
      <c r="C25" s="33" t="b">
        <v>0</v>
      </c>
      <c r="D25" s="33" t="s">
        <v>96</v>
      </c>
      <c r="E25" s="85">
        <v>2.0</v>
      </c>
      <c r="F25" s="85">
        <v>30.0</v>
      </c>
      <c r="G25" s="86"/>
      <c r="H25" s="85" t="s">
        <v>553</v>
      </c>
      <c r="I25" s="85" t="s">
        <v>554</v>
      </c>
      <c r="J25" s="33"/>
      <c r="K25" s="33"/>
    </row>
    <row r="26">
      <c r="A26" s="51"/>
      <c r="B26" s="52"/>
      <c r="C26" s="52"/>
      <c r="D26" s="52" t="s">
        <v>101</v>
      </c>
      <c r="E26" s="54">
        <f t="shared" ref="E26:F26" si="2">sum(E22)</f>
        <v>1</v>
      </c>
      <c r="F26" s="54">
        <f t="shared" si="2"/>
        <v>120</v>
      </c>
      <c r="G26" s="70">
        <v>360.0</v>
      </c>
      <c r="H26" s="54"/>
      <c r="I26" s="54"/>
      <c r="J26" s="56"/>
      <c r="K26" s="56"/>
    </row>
    <row r="27" ht="7.5" customHeight="1">
      <c r="A27" s="23"/>
      <c r="B27" s="23"/>
      <c r="C27" s="23"/>
      <c r="D27" s="23"/>
      <c r="E27" s="25"/>
      <c r="F27" s="23"/>
      <c r="G27" s="23"/>
      <c r="H27" s="23"/>
      <c r="I27" s="25"/>
      <c r="J27" s="23"/>
      <c r="K27" s="23"/>
    </row>
    <row r="28" ht="18.75" customHeight="1">
      <c r="A28" s="26" t="s">
        <v>568</v>
      </c>
      <c r="J28" s="26"/>
      <c r="K28" s="26"/>
    </row>
    <row r="29" ht="18.75" customHeight="1">
      <c r="A29" s="27"/>
      <c r="J29" s="27"/>
      <c r="K29" s="27"/>
    </row>
    <row r="30">
      <c r="A30" s="28" t="s">
        <v>41</v>
      </c>
      <c r="B30" s="28" t="s">
        <v>42</v>
      </c>
      <c r="C30" s="29" t="s">
        <v>43</v>
      </c>
      <c r="D30" s="28" t="s">
        <v>46</v>
      </c>
      <c r="E30" s="29" t="s">
        <v>47</v>
      </c>
      <c r="F30" s="29" t="s">
        <v>48</v>
      </c>
      <c r="G30" s="29" t="s">
        <v>49</v>
      </c>
      <c r="H30" s="29" t="s">
        <v>50</v>
      </c>
      <c r="I30" s="29" t="s">
        <v>51</v>
      </c>
      <c r="J30" s="29" t="s">
        <v>578</v>
      </c>
      <c r="K30" s="29"/>
    </row>
    <row r="31">
      <c r="A31" s="188" t="s">
        <v>583</v>
      </c>
      <c r="B31" s="189">
        <v>1.30272E7</v>
      </c>
      <c r="C31" s="190"/>
      <c r="D31" s="191" t="b">
        <v>1</v>
      </c>
      <c r="E31" s="191" t="s">
        <v>58</v>
      </c>
      <c r="F31" s="194">
        <v>1.0</v>
      </c>
      <c r="G31" s="195">
        <v>29.0</v>
      </c>
      <c r="H31" s="195">
        <v>125.0</v>
      </c>
      <c r="I31" s="194" t="s">
        <v>594</v>
      </c>
      <c r="J31" s="194" t="s">
        <v>88</v>
      </c>
      <c r="K31" s="196" t="s">
        <v>595</v>
      </c>
    </row>
    <row r="32">
      <c r="A32" s="197" t="s">
        <v>596</v>
      </c>
      <c r="B32" s="198" t="s">
        <v>597</v>
      </c>
      <c r="C32" s="190"/>
      <c r="D32" s="199" t="b">
        <v>1</v>
      </c>
      <c r="E32" s="199" t="s">
        <v>71</v>
      </c>
      <c r="F32" s="200">
        <v>1.0</v>
      </c>
      <c r="G32" s="200">
        <v>29.0</v>
      </c>
      <c r="H32" s="125"/>
      <c r="I32" s="200" t="s">
        <v>598</v>
      </c>
      <c r="J32" s="194" t="s">
        <v>88</v>
      </c>
      <c r="K32" s="196" t="s">
        <v>599</v>
      </c>
    </row>
    <row r="33">
      <c r="A33" s="201" t="s">
        <v>600</v>
      </c>
      <c r="B33" s="202">
        <v>3580200.0</v>
      </c>
      <c r="C33" s="190"/>
      <c r="D33" s="191" t="b">
        <v>0</v>
      </c>
      <c r="E33" s="191" t="s">
        <v>71</v>
      </c>
      <c r="F33" s="194">
        <v>1.0</v>
      </c>
      <c r="G33" s="194">
        <v>29.0</v>
      </c>
      <c r="H33" s="194">
        <v>75.0</v>
      </c>
      <c r="I33" s="200" t="s">
        <v>598</v>
      </c>
      <c r="J33" s="194" t="s">
        <v>88</v>
      </c>
      <c r="K33" s="196" t="s">
        <v>599</v>
      </c>
    </row>
    <row r="34">
      <c r="A34" s="203" t="s">
        <v>601</v>
      </c>
      <c r="B34" s="202">
        <v>3580820.0</v>
      </c>
      <c r="C34" s="190"/>
      <c r="D34" s="191" t="b">
        <v>0</v>
      </c>
      <c r="E34" s="191" t="s">
        <v>82</v>
      </c>
      <c r="F34" s="194">
        <v>1.0</v>
      </c>
      <c r="G34" s="194">
        <v>29.0</v>
      </c>
      <c r="H34" s="194">
        <v>49.0</v>
      </c>
      <c r="I34" s="204" t="s">
        <v>598</v>
      </c>
      <c r="J34" s="194" t="s">
        <v>88</v>
      </c>
      <c r="K34" s="196" t="s">
        <v>602</v>
      </c>
    </row>
    <row r="35">
      <c r="A35" s="205" t="s">
        <v>604</v>
      </c>
      <c r="B35" s="206">
        <v>3581500.0</v>
      </c>
      <c r="C35" s="207"/>
      <c r="D35" s="206" t="b">
        <v>0</v>
      </c>
      <c r="E35" s="206" t="s">
        <v>96</v>
      </c>
      <c r="F35" s="208">
        <v>1.0</v>
      </c>
      <c r="G35" s="208">
        <v>29.0</v>
      </c>
      <c r="H35" s="208">
        <v>7.0</v>
      </c>
      <c r="I35" s="209" t="s">
        <v>606</v>
      </c>
      <c r="J35" s="208" t="s">
        <v>88</v>
      </c>
      <c r="K35" s="210" t="s">
        <v>599</v>
      </c>
    </row>
    <row r="36">
      <c r="A36" s="51"/>
      <c r="B36" s="52"/>
      <c r="C36" s="52"/>
      <c r="D36" s="52" t="s">
        <v>101</v>
      </c>
      <c r="E36" s="54">
        <f t="shared" ref="E36:F36" si="3">sum(E31:E35)</f>
        <v>0</v>
      </c>
      <c r="F36" s="54">
        <f t="shared" si="3"/>
        <v>5</v>
      </c>
      <c r="G36" s="54"/>
      <c r="H36" s="211">
        <v>256.0</v>
      </c>
      <c r="I36" s="54"/>
      <c r="J36" s="56"/>
      <c r="K36" s="56"/>
    </row>
    <row r="37" ht="7.5" customHeight="1">
      <c r="A37" s="23"/>
      <c r="B37" s="23"/>
      <c r="C37" s="23"/>
      <c r="D37" s="23"/>
      <c r="E37" s="25"/>
      <c r="F37" s="23"/>
      <c r="G37" s="23"/>
      <c r="H37" s="23"/>
      <c r="I37" s="25"/>
      <c r="J37" s="23"/>
      <c r="K37" s="23"/>
    </row>
  </sheetData>
  <mergeCells count="15">
    <mergeCell ref="B6:I6"/>
    <mergeCell ref="B7:I7"/>
    <mergeCell ref="A9:I9"/>
    <mergeCell ref="A10:I10"/>
    <mergeCell ref="A19:I19"/>
    <mergeCell ref="A20:I20"/>
    <mergeCell ref="A28:I28"/>
    <mergeCell ref="A29:I29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6 D22:D25">
      <formula1>'Data Validation'!$A$2:$A$5</formula1>
    </dataValidation>
    <dataValidation type="list" allowBlank="1" sqref="F31:F35">
      <formula1>'Data Validation'!$B$2:$B$4</formula1>
    </dataValidation>
    <dataValidation type="list" allowBlank="1" sqref="E12:E16 E22:E25">
      <formula1>'Data Validation'!$B$2:$B$4</formula1>
    </dataValidation>
    <dataValidation type="list" allowBlank="1" sqref="E31:E35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25" footer="0.0" header="0.0" left="0.25" right="0.25" top="0.125"/>
  <pageSetup paperSize="5" cellComments="atEnd" orientation="landscape" pageOrder="overThenDown"/>
  <rowBreaks count="2" manualBreakCount="2">
    <brk man="1"/>
    <brk id="37" man="1"/>
  </rowBreaks>
  <colBreaks count="2" manualBreakCount="2">
    <brk man="1"/>
    <brk id="10" man="1"/>
  </colBrea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4.13"/>
  </cols>
  <sheetData>
    <row r="1" ht="66.75" customHeight="1">
      <c r="A1" s="1" t="s">
        <v>481</v>
      </c>
      <c r="J1" s="2" t="s">
        <v>1</v>
      </c>
    </row>
    <row r="2">
      <c r="A2" s="3" t="s">
        <v>2</v>
      </c>
      <c r="B2" s="19" t="s">
        <v>143</v>
      </c>
      <c r="J2" s="13" t="s">
        <v>6</v>
      </c>
    </row>
    <row r="3">
      <c r="A3" s="3" t="s">
        <v>14</v>
      </c>
      <c r="B3" s="19" t="s">
        <v>484</v>
      </c>
    </row>
    <row r="4">
      <c r="A4" s="3" t="s">
        <v>17</v>
      </c>
      <c r="B4" s="19" t="s">
        <v>485</v>
      </c>
      <c r="J4" s="18" t="s">
        <v>20</v>
      </c>
    </row>
    <row r="5">
      <c r="A5" s="3" t="s">
        <v>26</v>
      </c>
      <c r="B5" s="19">
        <v>3.0</v>
      </c>
      <c r="J5" s="24" t="s">
        <v>30</v>
      </c>
    </row>
    <row r="6">
      <c r="A6" s="3" t="s">
        <v>34</v>
      </c>
      <c r="B6" s="19"/>
    </row>
    <row r="7">
      <c r="A7" s="3" t="s">
        <v>36</v>
      </c>
      <c r="B7" s="19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499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503</v>
      </c>
    </row>
    <row r="12">
      <c r="A12" s="174" t="s">
        <v>504</v>
      </c>
      <c r="B12" s="27">
        <v>1.30202E7</v>
      </c>
      <c r="C12" s="27" t="b">
        <v>0</v>
      </c>
      <c r="D12" s="27" t="s">
        <v>58</v>
      </c>
      <c r="E12" s="37">
        <v>1.0</v>
      </c>
      <c r="F12" s="37">
        <v>120.0</v>
      </c>
      <c r="G12" s="38"/>
      <c r="H12" s="37" t="s">
        <v>509</v>
      </c>
      <c r="I12" s="37"/>
      <c r="J12" s="41"/>
    </row>
    <row r="13">
      <c r="A13" s="174" t="s">
        <v>510</v>
      </c>
      <c r="B13" s="27">
        <v>1.30203E7</v>
      </c>
      <c r="C13" s="27" t="b">
        <v>1</v>
      </c>
      <c r="D13" s="27" t="s">
        <v>71</v>
      </c>
      <c r="E13" s="37">
        <v>1.0</v>
      </c>
      <c r="F13" s="37">
        <v>0.0</v>
      </c>
      <c r="G13" s="38"/>
      <c r="H13" s="37" t="s">
        <v>509</v>
      </c>
      <c r="I13" s="37"/>
      <c r="J13" s="41"/>
    </row>
    <row r="14">
      <c r="A14" s="174" t="s">
        <v>513</v>
      </c>
      <c r="B14" s="27">
        <v>1.30205E7</v>
      </c>
      <c r="C14" s="27" t="b">
        <v>1</v>
      </c>
      <c r="D14" s="27" t="s">
        <v>96</v>
      </c>
      <c r="E14" s="37">
        <v>2.0</v>
      </c>
      <c r="F14" s="37">
        <v>25.0</v>
      </c>
      <c r="G14" s="38"/>
      <c r="H14" s="37" t="s">
        <v>509</v>
      </c>
      <c r="I14" s="37"/>
      <c r="J14" s="45" t="s">
        <v>514</v>
      </c>
    </row>
    <row r="15">
      <c r="A15" s="178" t="s">
        <v>515</v>
      </c>
      <c r="B15" s="179"/>
      <c r="C15" s="179" t="b">
        <v>0</v>
      </c>
      <c r="D15" s="179"/>
      <c r="E15" s="180"/>
      <c r="F15" s="180">
        <v>4.0</v>
      </c>
      <c r="G15" s="180"/>
      <c r="H15" s="37" t="s">
        <v>509</v>
      </c>
      <c r="I15" s="37"/>
      <c r="J15" s="45"/>
    </row>
    <row r="16">
      <c r="A16" s="51"/>
      <c r="B16" s="52"/>
      <c r="C16" s="52"/>
      <c r="D16" s="52" t="s">
        <v>101</v>
      </c>
      <c r="E16" s="54">
        <f>sum(E12:E14)</f>
        <v>4</v>
      </c>
      <c r="F16" s="54">
        <f>sum(F12:F15)</f>
        <v>149</v>
      </c>
      <c r="G16" s="70">
        <v>71.0</v>
      </c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26" t="s">
        <v>317</v>
      </c>
      <c r="J18" s="26"/>
    </row>
    <row r="19" ht="18.75" customHeight="1">
      <c r="A19" s="33" t="s">
        <v>194</v>
      </c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528</v>
      </c>
    </row>
    <row r="21">
      <c r="A21" s="69" t="s">
        <v>529</v>
      </c>
      <c r="B21" s="27">
        <v>1.302255E7</v>
      </c>
      <c r="C21" s="34" t="b">
        <v>0</v>
      </c>
      <c r="D21" s="27" t="s">
        <v>58</v>
      </c>
      <c r="E21" s="37">
        <v>1.0</v>
      </c>
      <c r="F21" s="37">
        <v>75.0</v>
      </c>
      <c r="G21" s="38"/>
      <c r="H21" s="63" t="s">
        <v>533</v>
      </c>
      <c r="I21" s="63" t="s">
        <v>534</v>
      </c>
      <c r="J21" s="41"/>
    </row>
    <row r="22">
      <c r="A22" s="69" t="s">
        <v>194</v>
      </c>
      <c r="B22" s="27" t="s">
        <v>201</v>
      </c>
      <c r="C22" s="27" t="b">
        <v>1</v>
      </c>
      <c r="D22" s="27" t="s">
        <v>71</v>
      </c>
      <c r="E22" s="37">
        <v>2.0</v>
      </c>
      <c r="F22" s="37">
        <v>25.0</v>
      </c>
      <c r="G22" s="38"/>
      <c r="H22" s="63" t="s">
        <v>537</v>
      </c>
      <c r="I22" s="63" t="s">
        <v>538</v>
      </c>
      <c r="J22" s="45" t="s">
        <v>480</v>
      </c>
    </row>
    <row r="23">
      <c r="A23" s="69" t="s">
        <v>541</v>
      </c>
      <c r="B23" s="27">
        <v>1.302265E7</v>
      </c>
      <c r="C23" s="27" t="b">
        <v>1</v>
      </c>
      <c r="D23" s="27" t="s">
        <v>82</v>
      </c>
      <c r="E23" s="37">
        <v>2.0</v>
      </c>
      <c r="F23" s="37">
        <v>25.0</v>
      </c>
      <c r="G23" s="38"/>
      <c r="H23" s="63" t="s">
        <v>543</v>
      </c>
      <c r="I23" s="63" t="s">
        <v>538</v>
      </c>
      <c r="J23" s="45" t="s">
        <v>209</v>
      </c>
    </row>
    <row r="24">
      <c r="A24" s="69" t="s">
        <v>211</v>
      </c>
      <c r="B24" s="27">
        <v>1.30227E7</v>
      </c>
      <c r="C24" s="27" t="b">
        <v>1</v>
      </c>
      <c r="D24" s="27" t="s">
        <v>96</v>
      </c>
      <c r="E24" s="37">
        <v>2.0</v>
      </c>
      <c r="F24" s="37">
        <v>25.0</v>
      </c>
      <c r="G24" s="38"/>
      <c r="H24" s="63" t="s">
        <v>543</v>
      </c>
      <c r="I24" s="63" t="s">
        <v>538</v>
      </c>
      <c r="J24" s="45" t="s">
        <v>480</v>
      </c>
    </row>
    <row r="25">
      <c r="A25" s="51"/>
      <c r="B25" s="52"/>
      <c r="C25" s="52"/>
      <c r="D25" s="52" t="s">
        <v>101</v>
      </c>
      <c r="E25" s="54">
        <f t="shared" ref="E25:F25" si="1">sum(E21:E24)</f>
        <v>7</v>
      </c>
      <c r="F25" s="54">
        <f t="shared" si="1"/>
        <v>150</v>
      </c>
      <c r="G25" s="70">
        <v>121.0</v>
      </c>
      <c r="H25" s="54"/>
      <c r="I25" s="54"/>
      <c r="J25" s="56"/>
    </row>
    <row r="26" ht="7.5" customHeight="1">
      <c r="A26" s="23"/>
      <c r="B26" s="23"/>
      <c r="C26" s="23"/>
      <c r="D26" s="23"/>
      <c r="E26" s="25"/>
      <c r="F26" s="23"/>
      <c r="G26" s="23"/>
      <c r="H26" s="23"/>
      <c r="I26" s="25"/>
      <c r="J26" s="23"/>
    </row>
    <row r="27" ht="18.75" customHeight="1">
      <c r="A27" s="26" t="s">
        <v>557</v>
      </c>
      <c r="J27" s="26"/>
    </row>
    <row r="28" ht="18.75" customHeight="1">
      <c r="A28" s="27"/>
      <c r="J28" s="27"/>
    </row>
    <row r="29">
      <c r="A29" s="28" t="s">
        <v>41</v>
      </c>
      <c r="B29" s="28" t="s">
        <v>42</v>
      </c>
      <c r="C29" s="29" t="s">
        <v>43</v>
      </c>
      <c r="D29" s="28" t="s">
        <v>46</v>
      </c>
      <c r="E29" s="29" t="s">
        <v>47</v>
      </c>
      <c r="F29" s="29" t="s">
        <v>48</v>
      </c>
      <c r="G29" s="29" t="s">
        <v>49</v>
      </c>
      <c r="H29" s="29" t="s">
        <v>50</v>
      </c>
      <c r="I29" s="29" t="s">
        <v>51</v>
      </c>
      <c r="J29" s="29" t="s">
        <v>561</v>
      </c>
    </row>
    <row r="30">
      <c r="A30" s="33" t="s">
        <v>562</v>
      </c>
      <c r="B30" s="27">
        <v>1.30292E7</v>
      </c>
      <c r="C30" s="34" t="b">
        <v>0</v>
      </c>
      <c r="D30" s="27" t="s">
        <v>58</v>
      </c>
      <c r="E30" s="37">
        <v>1.0</v>
      </c>
      <c r="F30" s="37">
        <v>120.0</v>
      </c>
      <c r="G30" s="38"/>
      <c r="H30" s="85" t="s">
        <v>570</v>
      </c>
      <c r="I30" s="136" t="s">
        <v>572</v>
      </c>
      <c r="J30" s="41"/>
    </row>
    <row r="31">
      <c r="A31" s="186" t="s">
        <v>574</v>
      </c>
      <c r="B31" s="27" t="s">
        <v>575</v>
      </c>
      <c r="C31" s="34" t="b">
        <v>0</v>
      </c>
      <c r="D31" s="27" t="s">
        <v>71</v>
      </c>
      <c r="E31" s="37">
        <v>1.0</v>
      </c>
      <c r="F31" s="37">
        <v>60.0</v>
      </c>
      <c r="G31" s="37"/>
      <c r="H31" s="85" t="s">
        <v>579</v>
      </c>
      <c r="I31" s="85" t="s">
        <v>580</v>
      </c>
      <c r="J31" s="45" t="s">
        <v>242</v>
      </c>
    </row>
    <row r="32">
      <c r="A32" s="33" t="s">
        <v>574</v>
      </c>
      <c r="B32" s="27" t="s">
        <v>575</v>
      </c>
      <c r="C32" s="34" t="b">
        <v>0</v>
      </c>
      <c r="D32" s="27" t="s">
        <v>71</v>
      </c>
      <c r="E32" s="37">
        <v>1.0</v>
      </c>
      <c r="F32" s="37">
        <v>60.0</v>
      </c>
      <c r="G32" s="38"/>
      <c r="H32" s="85" t="s">
        <v>586</v>
      </c>
      <c r="I32" s="85" t="s">
        <v>88</v>
      </c>
      <c r="J32" s="45" t="s">
        <v>242</v>
      </c>
    </row>
    <row r="33">
      <c r="A33" s="33" t="s">
        <v>587</v>
      </c>
      <c r="B33" s="27">
        <v>1.30299E7</v>
      </c>
      <c r="C33" s="27" t="b">
        <v>0</v>
      </c>
      <c r="D33" s="27" t="s">
        <v>82</v>
      </c>
      <c r="E33" s="37">
        <v>2.0</v>
      </c>
      <c r="F33" s="37">
        <v>75.0</v>
      </c>
      <c r="G33" s="38"/>
      <c r="H33" s="85" t="s">
        <v>579</v>
      </c>
      <c r="I33" s="192" t="s">
        <v>572</v>
      </c>
      <c r="J33" s="41"/>
    </row>
    <row r="34">
      <c r="A34" s="33" t="s">
        <v>593</v>
      </c>
      <c r="B34" s="27">
        <v>1.303011E7</v>
      </c>
      <c r="C34" s="27" t="b">
        <v>0</v>
      </c>
      <c r="D34" s="27" t="s">
        <v>96</v>
      </c>
      <c r="E34" s="37">
        <v>2.0</v>
      </c>
      <c r="F34" s="37">
        <v>20.0</v>
      </c>
      <c r="G34" s="38"/>
      <c r="H34" s="85" t="s">
        <v>586</v>
      </c>
      <c r="I34" s="85" t="s">
        <v>88</v>
      </c>
      <c r="J34" s="45"/>
    </row>
    <row r="35">
      <c r="A35" s="51"/>
      <c r="B35" s="52"/>
      <c r="C35" s="52"/>
      <c r="D35" s="52" t="s">
        <v>101</v>
      </c>
      <c r="E35" s="54">
        <f t="shared" ref="E35:F35" si="2">sum(E30:E34)</f>
        <v>7</v>
      </c>
      <c r="F35" s="54">
        <f t="shared" si="2"/>
        <v>335</v>
      </c>
      <c r="G35" s="54"/>
      <c r="H35" s="54"/>
      <c r="I35" s="54"/>
      <c r="J35" s="56"/>
    </row>
    <row r="36" ht="7.5" customHeight="1">
      <c r="A36" s="23"/>
      <c r="B36" s="23"/>
      <c r="C36" s="23"/>
      <c r="D36" s="23"/>
      <c r="E36" s="25"/>
      <c r="F36" s="23"/>
      <c r="G36" s="23"/>
      <c r="H36" s="23"/>
      <c r="I36" s="25"/>
      <c r="J36" s="23"/>
    </row>
  </sheetData>
  <mergeCells count="15">
    <mergeCell ref="B6:I6"/>
    <mergeCell ref="B7:I7"/>
    <mergeCell ref="A9:I9"/>
    <mergeCell ref="A10:I10"/>
    <mergeCell ref="A18:I18"/>
    <mergeCell ref="A19:I19"/>
    <mergeCell ref="A27:I27"/>
    <mergeCell ref="A28:I28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5 D21:D24 D30:D34">
      <formula1>'Data Validation'!$A$2:$A$5</formula1>
    </dataValidation>
    <dataValidation type="list" allowBlank="1" sqref="E12:E15 E21:E24 E30:E34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5.63"/>
    <col customWidth="1" min="9" max="9" width="29.88"/>
    <col customWidth="1" min="10" max="10" width="63.0"/>
  </cols>
  <sheetData>
    <row r="1" ht="66.75" customHeight="1">
      <c r="A1" s="1" t="s">
        <v>486</v>
      </c>
      <c r="J1" s="2" t="s">
        <v>1</v>
      </c>
    </row>
    <row r="2">
      <c r="A2" s="3" t="s">
        <v>2</v>
      </c>
      <c r="B2" s="5" t="s">
        <v>174</v>
      </c>
      <c r="J2" s="13" t="s">
        <v>6</v>
      </c>
    </row>
    <row r="3">
      <c r="A3" s="3" t="s">
        <v>14</v>
      </c>
      <c r="B3" s="5" t="s">
        <v>490</v>
      </c>
    </row>
    <row r="4">
      <c r="A4" s="3" t="s">
        <v>17</v>
      </c>
      <c r="B4" s="5" t="s">
        <v>492</v>
      </c>
      <c r="J4" s="18" t="s">
        <v>20</v>
      </c>
    </row>
    <row r="5">
      <c r="A5" s="3" t="s">
        <v>26</v>
      </c>
      <c r="B5" s="19">
        <v>3.0</v>
      </c>
      <c r="J5" s="24" t="s">
        <v>30</v>
      </c>
    </row>
    <row r="6">
      <c r="A6" s="3" t="s">
        <v>34</v>
      </c>
      <c r="B6" s="19">
        <v>3.0</v>
      </c>
    </row>
    <row r="7">
      <c r="A7" s="3" t="s">
        <v>36</v>
      </c>
      <c r="B7" s="5" t="s">
        <v>505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508</v>
      </c>
      <c r="J9" s="26"/>
    </row>
    <row r="10" ht="18.75" customHeight="1">
      <c r="A10" s="33" t="s">
        <v>250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511</v>
      </c>
    </row>
    <row r="12">
      <c r="A12" s="69" t="s">
        <v>512</v>
      </c>
      <c r="B12" s="27" t="s">
        <v>273</v>
      </c>
      <c r="C12" s="27" t="b">
        <v>1</v>
      </c>
      <c r="D12" s="27" t="s">
        <v>58</v>
      </c>
      <c r="E12" s="37">
        <v>1.0</v>
      </c>
      <c r="F12" s="37">
        <v>50.0</v>
      </c>
      <c r="G12" s="38"/>
      <c r="H12" s="37" t="s">
        <v>516</v>
      </c>
      <c r="I12" s="37" t="s">
        <v>517</v>
      </c>
      <c r="J12" s="41"/>
    </row>
    <row r="13">
      <c r="A13" s="174" t="s">
        <v>518</v>
      </c>
      <c r="B13" s="27">
        <v>1.30364E7</v>
      </c>
      <c r="C13" s="34" t="b">
        <v>0</v>
      </c>
      <c r="D13" s="27" t="s">
        <v>71</v>
      </c>
      <c r="E13" s="37">
        <v>1.0</v>
      </c>
      <c r="F13" s="37">
        <v>50.0</v>
      </c>
      <c r="G13" s="38"/>
      <c r="H13" s="181" t="s">
        <v>521</v>
      </c>
      <c r="I13" s="182"/>
      <c r="J13" s="41"/>
    </row>
    <row r="14">
      <c r="A14" s="69" t="s">
        <v>522</v>
      </c>
      <c r="B14" s="27" t="s">
        <v>255</v>
      </c>
      <c r="C14" s="34" t="b">
        <v>0</v>
      </c>
      <c r="D14" s="27" t="s">
        <v>71</v>
      </c>
      <c r="E14" s="37">
        <v>1.0</v>
      </c>
      <c r="F14" s="37">
        <v>50.0</v>
      </c>
      <c r="G14" s="38"/>
      <c r="H14" s="181" t="s">
        <v>521</v>
      </c>
      <c r="I14" s="181"/>
      <c r="J14" s="41"/>
    </row>
    <row r="15">
      <c r="A15" s="69" t="s">
        <v>524</v>
      </c>
      <c r="B15" s="27" t="s">
        <v>268</v>
      </c>
      <c r="C15" s="27" t="b">
        <v>0</v>
      </c>
      <c r="D15" s="27" t="s">
        <v>82</v>
      </c>
      <c r="E15" s="37">
        <v>1.0</v>
      </c>
      <c r="F15" s="37">
        <v>50.0</v>
      </c>
      <c r="G15" s="38"/>
      <c r="H15" s="181" t="s">
        <v>521</v>
      </c>
      <c r="I15" s="181"/>
      <c r="J15" s="184" t="s">
        <v>270</v>
      </c>
    </row>
    <row r="16">
      <c r="A16" s="69" t="s">
        <v>526</v>
      </c>
      <c r="B16" s="27" t="s">
        <v>273</v>
      </c>
      <c r="C16" s="34" t="b">
        <v>0</v>
      </c>
      <c r="D16" s="27" t="s">
        <v>96</v>
      </c>
      <c r="E16" s="37">
        <v>1.0</v>
      </c>
      <c r="F16" s="37">
        <v>0.0</v>
      </c>
      <c r="G16" s="38"/>
      <c r="H16" s="37" t="s">
        <v>516</v>
      </c>
      <c r="I16" s="37" t="s">
        <v>517</v>
      </c>
      <c r="J16" s="184" t="s">
        <v>270</v>
      </c>
    </row>
    <row r="17">
      <c r="A17" s="51"/>
      <c r="B17" s="52"/>
      <c r="C17" s="52"/>
      <c r="D17" s="52" t="s">
        <v>101</v>
      </c>
      <c r="E17" s="54">
        <f t="shared" ref="E17:G17" si="1">sum(E12:E16)</f>
        <v>5</v>
      </c>
      <c r="F17" s="54">
        <f t="shared" si="1"/>
        <v>200</v>
      </c>
      <c r="G17" s="55">
        <f t="shared" si="1"/>
        <v>0</v>
      </c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30" t="s">
        <v>536</v>
      </c>
      <c r="J19" s="26"/>
    </row>
    <row r="20" ht="18.75" customHeight="1">
      <c r="A20" s="27" t="s">
        <v>540</v>
      </c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549</v>
      </c>
    </row>
    <row r="22">
      <c r="A22" s="69" t="s">
        <v>78</v>
      </c>
      <c r="B22" s="106">
        <v>1.30344E7</v>
      </c>
      <c r="C22" s="27" t="b">
        <v>1</v>
      </c>
      <c r="D22" s="27" t="s">
        <v>71</v>
      </c>
      <c r="E22" s="37">
        <v>1.0</v>
      </c>
      <c r="F22" s="37">
        <v>200.0</v>
      </c>
      <c r="G22" s="38"/>
      <c r="H22" s="103" t="s">
        <v>551</v>
      </c>
      <c r="I22" s="37" t="s">
        <v>552</v>
      </c>
      <c r="J22" s="45" t="s">
        <v>301</v>
      </c>
    </row>
    <row r="23">
      <c r="A23" s="69" t="s">
        <v>78</v>
      </c>
      <c r="B23" s="106">
        <v>1.30344E7</v>
      </c>
      <c r="C23" s="27" t="b">
        <v>1</v>
      </c>
      <c r="D23" s="27" t="s">
        <v>71</v>
      </c>
      <c r="E23" s="37">
        <v>1.0</v>
      </c>
      <c r="F23" s="37">
        <v>200.0</v>
      </c>
      <c r="G23" s="38"/>
      <c r="H23" s="103" t="s">
        <v>555</v>
      </c>
      <c r="I23" s="37" t="s">
        <v>552</v>
      </c>
      <c r="J23" s="45" t="s">
        <v>301</v>
      </c>
    </row>
    <row r="24">
      <c r="A24" s="69" t="s">
        <v>556</v>
      </c>
      <c r="B24" s="106">
        <v>1.30114E7</v>
      </c>
      <c r="C24" s="27" t="b">
        <v>1</v>
      </c>
      <c r="D24" s="27" t="s">
        <v>58</v>
      </c>
      <c r="E24" s="37">
        <v>1.0</v>
      </c>
      <c r="F24" s="37">
        <v>300.0</v>
      </c>
      <c r="G24" s="38"/>
      <c r="H24" s="103" t="s">
        <v>555</v>
      </c>
      <c r="I24" s="37" t="s">
        <v>558</v>
      </c>
      <c r="J24" s="45" t="s">
        <v>559</v>
      </c>
    </row>
    <row r="25">
      <c r="A25" s="69" t="s">
        <v>556</v>
      </c>
      <c r="B25" s="106">
        <v>1.30114E7</v>
      </c>
      <c r="C25" s="27" t="b">
        <v>1</v>
      </c>
      <c r="D25" s="27" t="s">
        <v>58</v>
      </c>
      <c r="E25" s="37">
        <v>1.0</v>
      </c>
      <c r="F25" s="37">
        <v>300.0</v>
      </c>
      <c r="G25" s="38"/>
      <c r="H25" s="37" t="s">
        <v>563</v>
      </c>
      <c r="I25" s="37" t="s">
        <v>558</v>
      </c>
      <c r="J25" s="45" t="s">
        <v>559</v>
      </c>
    </row>
    <row r="26">
      <c r="A26" s="69" t="s">
        <v>564</v>
      </c>
      <c r="B26" s="106">
        <v>1.30164E7</v>
      </c>
      <c r="C26" s="27" t="b">
        <v>1</v>
      </c>
      <c r="D26" s="27" t="s">
        <v>96</v>
      </c>
      <c r="E26" s="37">
        <v>1.0</v>
      </c>
      <c r="F26" s="37">
        <v>200.0</v>
      </c>
      <c r="G26" s="38"/>
      <c r="H26" s="37" t="s">
        <v>569</v>
      </c>
      <c r="I26" s="37" t="s">
        <v>571</v>
      </c>
      <c r="J26" s="45" t="s">
        <v>573</v>
      </c>
    </row>
    <row r="27">
      <c r="A27" s="69" t="s">
        <v>564</v>
      </c>
      <c r="B27" s="106">
        <v>1.30164E7</v>
      </c>
      <c r="C27" s="27" t="b">
        <v>1</v>
      </c>
      <c r="D27" s="27" t="s">
        <v>96</v>
      </c>
      <c r="E27" s="37">
        <v>1.0</v>
      </c>
      <c r="F27" s="37">
        <v>200.0</v>
      </c>
      <c r="G27" s="38"/>
      <c r="H27" s="37" t="s">
        <v>577</v>
      </c>
      <c r="I27" s="37" t="s">
        <v>571</v>
      </c>
      <c r="J27" s="45" t="s">
        <v>573</v>
      </c>
    </row>
    <row r="28">
      <c r="A28" s="69" t="s">
        <v>127</v>
      </c>
      <c r="B28" s="106">
        <v>1.30168E7</v>
      </c>
      <c r="C28" s="27" t="b">
        <v>1</v>
      </c>
      <c r="D28" s="27" t="s">
        <v>82</v>
      </c>
      <c r="E28" s="37">
        <v>1.0</v>
      </c>
      <c r="F28" s="37">
        <v>150.0</v>
      </c>
      <c r="G28" s="38"/>
      <c r="H28" s="37" t="s">
        <v>569</v>
      </c>
      <c r="I28" s="187" t="s">
        <v>582</v>
      </c>
      <c r="J28" s="45" t="s">
        <v>125</v>
      </c>
    </row>
    <row r="29">
      <c r="A29" s="69" t="s">
        <v>127</v>
      </c>
      <c r="B29" s="106">
        <v>1.30168E7</v>
      </c>
      <c r="C29" s="27" t="b">
        <v>1</v>
      </c>
      <c r="D29" s="27" t="s">
        <v>82</v>
      </c>
      <c r="E29" s="37">
        <v>1.0</v>
      </c>
      <c r="F29" s="37">
        <v>150.0</v>
      </c>
      <c r="G29" s="38"/>
      <c r="H29" s="37" t="s">
        <v>588</v>
      </c>
      <c r="I29" s="187" t="s">
        <v>582</v>
      </c>
      <c r="J29" s="45" t="s">
        <v>125</v>
      </c>
    </row>
    <row r="30">
      <c r="A30" s="69" t="s">
        <v>589</v>
      </c>
      <c r="B30" s="106">
        <v>1.30122E7</v>
      </c>
      <c r="C30" s="27" t="b">
        <v>1</v>
      </c>
      <c r="D30" s="27" t="s">
        <v>96</v>
      </c>
      <c r="E30" s="37">
        <v>1.0</v>
      </c>
      <c r="F30" s="37">
        <v>25.0</v>
      </c>
      <c r="G30" s="38"/>
      <c r="H30" s="37" t="s">
        <v>588</v>
      </c>
      <c r="I30" s="187" t="s">
        <v>590</v>
      </c>
      <c r="J30" s="45" t="s">
        <v>573</v>
      </c>
    </row>
    <row r="31">
      <c r="A31" s="69" t="s">
        <v>591</v>
      </c>
      <c r="B31" s="193" t="s">
        <v>592</v>
      </c>
      <c r="C31" s="27" t="b">
        <v>1</v>
      </c>
      <c r="D31" s="27" t="s">
        <v>96</v>
      </c>
      <c r="E31" s="37">
        <v>2.0</v>
      </c>
      <c r="F31" s="37">
        <v>50.0</v>
      </c>
      <c r="G31" s="38"/>
      <c r="H31" s="37" t="s">
        <v>577</v>
      </c>
      <c r="I31" s="37" t="s">
        <v>558</v>
      </c>
      <c r="J31" s="41"/>
    </row>
    <row r="32">
      <c r="A32" s="51"/>
      <c r="B32" s="52"/>
      <c r="C32" s="52"/>
      <c r="D32" s="52" t="s">
        <v>101</v>
      </c>
      <c r="E32" s="54">
        <f t="shared" ref="E32:G32" si="2">sum(E22:E31)</f>
        <v>11</v>
      </c>
      <c r="F32" s="54">
        <f t="shared" si="2"/>
        <v>1775</v>
      </c>
      <c r="G32" s="55">
        <f t="shared" si="2"/>
        <v>0</v>
      </c>
      <c r="H32" s="54"/>
      <c r="I32" s="54"/>
      <c r="J32" s="56"/>
    </row>
    <row r="33" ht="7.5" customHeight="1">
      <c r="A33" s="23"/>
      <c r="B33" s="23"/>
      <c r="C33" s="23"/>
      <c r="D33" s="23"/>
      <c r="E33" s="25"/>
      <c r="F33" s="23"/>
      <c r="G33" s="23"/>
      <c r="H33" s="23"/>
      <c r="I33" s="25"/>
      <c r="J33" s="23"/>
    </row>
  </sheetData>
  <mergeCells count="13">
    <mergeCell ref="B6:I6"/>
    <mergeCell ref="B7:I7"/>
    <mergeCell ref="A9:I9"/>
    <mergeCell ref="A10:I10"/>
    <mergeCell ref="A19:I19"/>
    <mergeCell ref="A20:I20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6 D22:D31">
      <formula1>'Data Validation'!$A$2:$A$5</formula1>
    </dataValidation>
    <dataValidation type="list" allowBlank="1" sqref="E12:E16 E22:E31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25" footer="0.0" header="0.0" left="0.25" right="0.25" top="0.25"/>
  <pageSetup fitToHeight="0" paperSize="5" cellComments="atEnd" orientation="landscape" pageOrder="overThenDown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51.13"/>
  </cols>
  <sheetData>
    <row r="1" ht="66.75" customHeight="1">
      <c r="A1" s="1" t="s">
        <v>603</v>
      </c>
      <c r="J1" s="2" t="s">
        <v>1</v>
      </c>
    </row>
    <row r="2">
      <c r="A2" s="3" t="s">
        <v>2</v>
      </c>
      <c r="B2" s="19" t="s">
        <v>149</v>
      </c>
      <c r="J2" s="13" t="s">
        <v>6</v>
      </c>
    </row>
    <row r="3">
      <c r="A3" s="3" t="s">
        <v>14</v>
      </c>
      <c r="B3" s="19" t="s">
        <v>607</v>
      </c>
    </row>
    <row r="4">
      <c r="A4" s="3" t="s">
        <v>17</v>
      </c>
      <c r="B4" s="19" t="s">
        <v>608</v>
      </c>
      <c r="J4" s="18" t="s">
        <v>20</v>
      </c>
    </row>
    <row r="5">
      <c r="A5" s="3" t="s">
        <v>26</v>
      </c>
      <c r="B5" s="19">
        <v>5.0</v>
      </c>
      <c r="J5" s="24" t="s">
        <v>30</v>
      </c>
    </row>
    <row r="6">
      <c r="A6" s="3" t="s">
        <v>34</v>
      </c>
      <c r="B6" s="19">
        <v>0.0</v>
      </c>
    </row>
    <row r="7">
      <c r="A7" s="3" t="s">
        <v>36</v>
      </c>
      <c r="B7" s="19">
        <v>0.0</v>
      </c>
      <c r="J7" s="22"/>
    </row>
    <row r="8" ht="7.5" customHeight="1">
      <c r="A8" s="23"/>
      <c r="B8" s="213"/>
      <c r="C8" s="213"/>
      <c r="D8" s="213"/>
      <c r="E8" s="108"/>
      <c r="F8" s="213"/>
      <c r="G8" s="213"/>
      <c r="H8" s="213"/>
      <c r="I8" s="108"/>
      <c r="J8" s="23"/>
    </row>
    <row r="9" ht="18.75" customHeight="1">
      <c r="A9" s="30" t="s">
        <v>38</v>
      </c>
      <c r="J9" s="26"/>
    </row>
    <row r="10" ht="18.75" customHeight="1">
      <c r="A10" s="27" t="s">
        <v>615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618</v>
      </c>
    </row>
    <row r="12">
      <c r="A12" s="33" t="s">
        <v>619</v>
      </c>
      <c r="B12" s="27">
        <v>1.30046E7</v>
      </c>
      <c r="C12" s="27" t="b">
        <v>1</v>
      </c>
      <c r="D12" s="27" t="s">
        <v>71</v>
      </c>
      <c r="E12" s="37">
        <v>1.0</v>
      </c>
      <c r="F12" s="38"/>
      <c r="G12" s="38"/>
      <c r="H12" s="37" t="s">
        <v>627</v>
      </c>
      <c r="I12" s="37" t="s">
        <v>628</v>
      </c>
      <c r="J12" s="45" t="s">
        <v>629</v>
      </c>
    </row>
    <row r="13">
      <c r="A13" s="33" t="s">
        <v>630</v>
      </c>
      <c r="B13" s="27">
        <v>1.30047E7</v>
      </c>
      <c r="C13" s="27" t="b">
        <v>1</v>
      </c>
      <c r="D13" s="27" t="s">
        <v>82</v>
      </c>
      <c r="E13" s="37">
        <v>2.0</v>
      </c>
      <c r="F13" s="38"/>
      <c r="G13" s="38"/>
      <c r="H13" s="37" t="s">
        <v>627</v>
      </c>
      <c r="I13" s="37" t="s">
        <v>628</v>
      </c>
      <c r="J13" s="45" t="s">
        <v>629</v>
      </c>
    </row>
    <row r="14">
      <c r="A14" s="33" t="s">
        <v>636</v>
      </c>
      <c r="B14" s="27">
        <v>1.30048E7</v>
      </c>
      <c r="C14" s="27" t="b">
        <v>1</v>
      </c>
      <c r="D14" s="27" t="s">
        <v>96</v>
      </c>
      <c r="E14" s="37">
        <v>2.0</v>
      </c>
      <c r="F14" s="38"/>
      <c r="G14" s="38"/>
      <c r="H14" s="37" t="s">
        <v>627</v>
      </c>
      <c r="I14" s="37" t="s">
        <v>628</v>
      </c>
      <c r="J14" s="222" t="s">
        <v>639</v>
      </c>
    </row>
    <row r="15">
      <c r="A15" s="51"/>
      <c r="B15" s="52"/>
      <c r="C15" s="52"/>
      <c r="D15" s="52" t="s">
        <v>101</v>
      </c>
      <c r="E15" s="54">
        <f t="shared" ref="E15:F15" si="1">sum(E12:E14)</f>
        <v>5</v>
      </c>
      <c r="F15" s="55">
        <f t="shared" si="1"/>
        <v>0</v>
      </c>
      <c r="G15" s="55">
        <f>SUM(G12:G14)</f>
        <v>0</v>
      </c>
      <c r="H15" s="54"/>
      <c r="I15" s="54"/>
      <c r="J15" s="56"/>
    </row>
    <row r="16" ht="7.5" customHeight="1">
      <c r="A16" s="23"/>
      <c r="B16" s="23"/>
      <c r="C16" s="23"/>
      <c r="D16" s="23"/>
      <c r="E16" s="25"/>
      <c r="F16" s="23"/>
      <c r="G16" s="23">
        <f>SUM(G12:G15)</f>
        <v>0</v>
      </c>
      <c r="H16" s="23"/>
      <c r="I16" s="25"/>
      <c r="J16" s="23"/>
    </row>
    <row r="17" ht="18.75" customHeight="1">
      <c r="A17" s="30" t="s">
        <v>111</v>
      </c>
      <c r="J17" s="26"/>
    </row>
    <row r="18" ht="18.75" customHeight="1">
      <c r="A18" s="27" t="s">
        <v>308</v>
      </c>
      <c r="J18" s="27"/>
    </row>
    <row r="19">
      <c r="A19" s="28" t="s">
        <v>41</v>
      </c>
      <c r="B19" s="28" t="s">
        <v>42</v>
      </c>
      <c r="C19" s="29" t="s">
        <v>43</v>
      </c>
      <c r="D19" s="28" t="s">
        <v>46</v>
      </c>
      <c r="E19" s="29" t="s">
        <v>47</v>
      </c>
      <c r="F19" s="29" t="s">
        <v>48</v>
      </c>
      <c r="G19" s="29" t="s">
        <v>49</v>
      </c>
      <c r="H19" s="29" t="s">
        <v>50</v>
      </c>
      <c r="I19" s="29" t="s">
        <v>51</v>
      </c>
      <c r="J19" s="29" t="s">
        <v>655</v>
      </c>
    </row>
    <row r="20">
      <c r="A20" s="33" t="s">
        <v>532</v>
      </c>
      <c r="B20" s="33">
        <v>1.30112E7</v>
      </c>
      <c r="C20" s="88" t="b">
        <v>0</v>
      </c>
      <c r="D20" s="33" t="s">
        <v>58</v>
      </c>
      <c r="E20" s="85">
        <v>1.0</v>
      </c>
      <c r="F20" s="85">
        <v>240.0</v>
      </c>
      <c r="G20" s="86"/>
      <c r="H20" s="85" t="s">
        <v>659</v>
      </c>
      <c r="I20" s="85" t="s">
        <v>660</v>
      </c>
      <c r="J20" s="88"/>
    </row>
    <row r="21">
      <c r="A21" s="237" t="s">
        <v>413</v>
      </c>
      <c r="B21" s="33">
        <v>1.3011101E7</v>
      </c>
      <c r="C21" s="88" t="b">
        <v>0</v>
      </c>
      <c r="D21" s="33" t="s">
        <v>71</v>
      </c>
      <c r="E21" s="85">
        <v>1.0</v>
      </c>
      <c r="F21" s="85">
        <v>112.0</v>
      </c>
      <c r="G21" s="86"/>
      <c r="H21" s="223" t="s">
        <v>664</v>
      </c>
      <c r="I21" s="223" t="s">
        <v>88</v>
      </c>
      <c r="J21" s="33" t="s">
        <v>75</v>
      </c>
    </row>
    <row r="22">
      <c r="A22" s="237" t="s">
        <v>290</v>
      </c>
      <c r="B22" s="33">
        <v>1.3012E7</v>
      </c>
      <c r="C22" s="88" t="b">
        <v>0</v>
      </c>
      <c r="D22" s="33" t="s">
        <v>71</v>
      </c>
      <c r="E22" s="85">
        <v>0.5</v>
      </c>
      <c r="F22" s="85">
        <v>0.0</v>
      </c>
      <c r="G22" s="86"/>
      <c r="H22" s="85" t="s">
        <v>667</v>
      </c>
      <c r="I22" s="117" t="s">
        <v>668</v>
      </c>
      <c r="J22" s="88"/>
    </row>
    <row r="23">
      <c r="A23" s="237" t="s">
        <v>300</v>
      </c>
      <c r="B23" s="33">
        <v>1.30118E7</v>
      </c>
      <c r="C23" s="88" t="b">
        <v>0</v>
      </c>
      <c r="D23" s="33" t="s">
        <v>82</v>
      </c>
      <c r="E23" s="85">
        <v>0.5</v>
      </c>
      <c r="F23" s="85">
        <v>0.0</v>
      </c>
      <c r="G23" s="86"/>
      <c r="H23" s="85" t="s">
        <v>667</v>
      </c>
      <c r="I23" s="117" t="s">
        <v>668</v>
      </c>
      <c r="J23" s="88"/>
    </row>
    <row r="24">
      <c r="A24" s="237" t="s">
        <v>308</v>
      </c>
      <c r="B24" s="33">
        <v>1.30121E7</v>
      </c>
      <c r="C24" s="33" t="b">
        <v>0</v>
      </c>
      <c r="D24" s="33" t="s">
        <v>82</v>
      </c>
      <c r="E24" s="85">
        <v>1.0</v>
      </c>
      <c r="F24" s="85">
        <v>0.0</v>
      </c>
      <c r="G24" s="86"/>
      <c r="H24" s="85" t="s">
        <v>675</v>
      </c>
      <c r="I24" s="85" t="s">
        <v>88</v>
      </c>
      <c r="J24" s="33" t="s">
        <v>645</v>
      </c>
    </row>
    <row r="25">
      <c r="A25" s="186" t="s">
        <v>677</v>
      </c>
      <c r="B25" s="33">
        <v>1.2701305E7</v>
      </c>
      <c r="C25" s="88" t="b">
        <v>0</v>
      </c>
      <c r="D25" s="33" t="s">
        <v>96</v>
      </c>
      <c r="E25" s="85">
        <v>2.0</v>
      </c>
      <c r="F25" s="85">
        <v>125.0</v>
      </c>
      <c r="G25" s="86"/>
      <c r="H25" s="85" t="s">
        <v>679</v>
      </c>
      <c r="I25" s="85" t="s">
        <v>681</v>
      </c>
      <c r="J25" s="33"/>
    </row>
    <row r="26">
      <c r="A26" s="51"/>
      <c r="B26" s="52"/>
      <c r="C26" s="52"/>
      <c r="D26" s="52" t="s">
        <v>101</v>
      </c>
      <c r="E26" s="54">
        <f>sum(E21:E25)</f>
        <v>5</v>
      </c>
      <c r="F26" s="54">
        <f>sum(F20:F25)</f>
        <v>477</v>
      </c>
      <c r="G26" s="70">
        <v>473.0</v>
      </c>
      <c r="H26" s="54"/>
      <c r="I26" s="54"/>
      <c r="J26" s="56"/>
    </row>
    <row r="27" ht="7.5" customHeight="1">
      <c r="A27" s="23"/>
      <c r="B27" s="23"/>
      <c r="C27" s="23"/>
      <c r="D27" s="23"/>
      <c r="E27" s="25"/>
      <c r="F27" s="23"/>
      <c r="G27" s="23"/>
      <c r="H27" s="23"/>
      <c r="I27" s="25"/>
      <c r="J27" s="23"/>
    </row>
    <row r="28" ht="18.75" customHeight="1">
      <c r="A28" s="30" t="s">
        <v>169</v>
      </c>
      <c r="J28" s="26"/>
    </row>
    <row r="29" ht="18.75" customHeight="1">
      <c r="A29" s="27" t="s">
        <v>693</v>
      </c>
      <c r="J29" s="27"/>
    </row>
    <row r="30">
      <c r="A30" s="28" t="s">
        <v>41</v>
      </c>
      <c r="B30" s="28" t="s">
        <v>42</v>
      </c>
      <c r="C30" s="29" t="s">
        <v>43</v>
      </c>
      <c r="D30" s="28" t="s">
        <v>46</v>
      </c>
      <c r="E30" s="29" t="s">
        <v>47</v>
      </c>
      <c r="F30" s="29" t="s">
        <v>48</v>
      </c>
      <c r="G30" s="29" t="s">
        <v>49</v>
      </c>
      <c r="H30" s="29" t="s">
        <v>50</v>
      </c>
      <c r="I30" s="29" t="s">
        <v>51</v>
      </c>
      <c r="J30" s="29" t="s">
        <v>699</v>
      </c>
    </row>
    <row r="31">
      <c r="A31" s="33" t="s">
        <v>177</v>
      </c>
      <c r="B31" s="33">
        <v>1.300997E7</v>
      </c>
      <c r="C31" s="88" t="b">
        <v>0</v>
      </c>
      <c r="D31" s="33" t="s">
        <v>58</v>
      </c>
      <c r="E31" s="85">
        <v>1.0</v>
      </c>
      <c r="F31" s="85">
        <v>100.0</v>
      </c>
      <c r="G31" s="86"/>
      <c r="H31" s="85" t="s">
        <v>701</v>
      </c>
      <c r="I31" s="85" t="s">
        <v>702</v>
      </c>
      <c r="J31" s="88"/>
    </row>
    <row r="32">
      <c r="A32" s="237" t="s">
        <v>185</v>
      </c>
      <c r="B32" s="250" t="s">
        <v>186</v>
      </c>
      <c r="C32" s="88" t="b">
        <v>0</v>
      </c>
      <c r="D32" s="237" t="s">
        <v>71</v>
      </c>
      <c r="E32" s="128">
        <v>1.0</v>
      </c>
      <c r="F32" s="129"/>
      <c r="G32" s="86"/>
      <c r="H32" s="85" t="s">
        <v>704</v>
      </c>
      <c r="I32" s="142" t="s">
        <v>705</v>
      </c>
      <c r="J32" s="33"/>
    </row>
    <row r="33">
      <c r="A33" s="252" t="s">
        <v>706</v>
      </c>
      <c r="B33" s="253" t="s">
        <v>707</v>
      </c>
      <c r="C33" s="93" t="b">
        <v>0</v>
      </c>
      <c r="D33" s="252" t="s">
        <v>82</v>
      </c>
      <c r="E33" s="254">
        <v>1.0</v>
      </c>
      <c r="F33" s="255"/>
      <c r="G33" s="96"/>
      <c r="H33" s="94" t="s">
        <v>708</v>
      </c>
      <c r="I33" s="94" t="s">
        <v>709</v>
      </c>
      <c r="J33" s="91" t="s">
        <v>710</v>
      </c>
    </row>
    <row r="34">
      <c r="A34" s="33" t="s">
        <v>711</v>
      </c>
      <c r="B34" s="33">
        <v>3581500.0</v>
      </c>
      <c r="C34" s="88" t="b">
        <v>0</v>
      </c>
      <c r="D34" s="33" t="s">
        <v>96</v>
      </c>
      <c r="E34" s="85">
        <v>1.0</v>
      </c>
      <c r="F34" s="85"/>
      <c r="G34" s="86"/>
      <c r="H34" s="85" t="s">
        <v>714</v>
      </c>
      <c r="I34" s="85" t="s">
        <v>709</v>
      </c>
      <c r="J34" s="88"/>
    </row>
    <row r="35">
      <c r="A35" s="258" t="s">
        <v>715</v>
      </c>
      <c r="B35" s="91">
        <v>1.27013E7</v>
      </c>
      <c r="C35" s="93" t="b">
        <v>0</v>
      </c>
      <c r="D35" s="91" t="s">
        <v>96</v>
      </c>
      <c r="E35" s="94">
        <v>2.0</v>
      </c>
      <c r="F35" s="94">
        <v>125.0</v>
      </c>
      <c r="G35" s="96"/>
      <c r="H35" s="94" t="s">
        <v>679</v>
      </c>
      <c r="I35" s="94" t="s">
        <v>681</v>
      </c>
      <c r="J35" s="93"/>
    </row>
    <row r="36">
      <c r="A36" s="91" t="s">
        <v>515</v>
      </c>
      <c r="B36" s="91"/>
      <c r="C36" s="93" t="b">
        <v>0</v>
      </c>
      <c r="D36" s="91"/>
      <c r="E36" s="94"/>
      <c r="F36" s="94"/>
      <c r="G36" s="96"/>
      <c r="H36" s="94" t="s">
        <v>714</v>
      </c>
      <c r="I36" s="94"/>
      <c r="J36" s="93"/>
    </row>
    <row r="37">
      <c r="A37" s="51"/>
      <c r="B37" s="52"/>
      <c r="C37" s="52"/>
      <c r="D37" s="52" t="s">
        <v>101</v>
      </c>
      <c r="E37" s="54">
        <f t="shared" ref="E37:F37" si="2">sum(E31:E33)</f>
        <v>3</v>
      </c>
      <c r="F37" s="54">
        <f t="shared" si="2"/>
        <v>100</v>
      </c>
      <c r="G37" s="70">
        <v>278.0</v>
      </c>
      <c r="H37" s="54"/>
      <c r="I37" s="54"/>
      <c r="J37" s="56"/>
    </row>
    <row r="38" ht="7.5" customHeight="1">
      <c r="A38" s="23"/>
      <c r="B38" s="23"/>
      <c r="C38" s="23"/>
      <c r="D38" s="23"/>
      <c r="E38" s="25"/>
      <c r="F38" s="23"/>
      <c r="G38" s="23"/>
      <c r="H38" s="23"/>
      <c r="I38" s="25"/>
      <c r="J38" s="23"/>
    </row>
    <row r="39" ht="18.75" customHeight="1">
      <c r="A39" s="30" t="s">
        <v>205</v>
      </c>
      <c r="J39" s="26"/>
    </row>
    <row r="40" ht="18.75" customHeight="1">
      <c r="A40" s="27" t="s">
        <v>724</v>
      </c>
      <c r="J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48</v>
      </c>
      <c r="G41" s="29" t="s">
        <v>49</v>
      </c>
      <c r="H41" s="29" t="s">
        <v>50</v>
      </c>
      <c r="I41" s="29" t="s">
        <v>51</v>
      </c>
      <c r="J41" s="29" t="s">
        <v>728</v>
      </c>
    </row>
    <row r="42">
      <c r="A42" s="27" t="s">
        <v>729</v>
      </c>
      <c r="B42" s="27" t="s">
        <v>597</v>
      </c>
      <c r="C42" s="27" t="b">
        <v>1</v>
      </c>
      <c r="D42" s="27" t="s">
        <v>71</v>
      </c>
      <c r="E42" s="37">
        <v>1.0</v>
      </c>
      <c r="F42" s="37">
        <v>125.0</v>
      </c>
      <c r="G42" s="37"/>
      <c r="H42" s="37" t="s">
        <v>735</v>
      </c>
      <c r="I42" s="37"/>
      <c r="J42" s="268"/>
    </row>
    <row r="43">
      <c r="A43" s="27" t="s">
        <v>736</v>
      </c>
      <c r="B43" s="27" t="s">
        <v>737</v>
      </c>
      <c r="C43" s="27" t="b">
        <v>1</v>
      </c>
      <c r="D43" s="27" t="s">
        <v>82</v>
      </c>
      <c r="E43" s="37">
        <v>1.0</v>
      </c>
      <c r="F43" s="37">
        <v>150.0</v>
      </c>
      <c r="G43" s="38"/>
      <c r="H43" s="37" t="s">
        <v>704</v>
      </c>
      <c r="I43" s="110" t="s">
        <v>705</v>
      </c>
      <c r="J43" s="45" t="s">
        <v>751</v>
      </c>
    </row>
    <row r="44">
      <c r="A44" s="180" t="s">
        <v>752</v>
      </c>
      <c r="B44" s="27">
        <v>3581500.0</v>
      </c>
      <c r="C44" s="27" t="b">
        <v>1</v>
      </c>
      <c r="D44" s="27" t="s">
        <v>96</v>
      </c>
      <c r="E44" s="37">
        <v>1.0</v>
      </c>
      <c r="F44" s="37"/>
      <c r="G44" s="37"/>
      <c r="H44" s="180" t="s">
        <v>714</v>
      </c>
      <c r="I44" s="37" t="s">
        <v>709</v>
      </c>
      <c r="J44" s="45" t="s">
        <v>755</v>
      </c>
    </row>
    <row r="45">
      <c r="A45" s="51"/>
      <c r="B45" s="52"/>
      <c r="C45" s="52"/>
      <c r="D45" s="52" t="s">
        <v>101</v>
      </c>
      <c r="E45" s="54">
        <f t="shared" ref="E45:F45" si="3">sum(E42:E44)</f>
        <v>3</v>
      </c>
      <c r="F45" s="54">
        <f t="shared" si="3"/>
        <v>275</v>
      </c>
      <c r="G45" s="54"/>
      <c r="H45" s="54"/>
      <c r="I45" s="54"/>
      <c r="J45" s="56"/>
    </row>
    <row r="46">
      <c r="A46" s="166"/>
      <c r="B46" s="276"/>
      <c r="C46" s="276"/>
      <c r="D46" s="276"/>
      <c r="E46" s="166"/>
      <c r="F46" s="166"/>
      <c r="G46" s="278">
        <f>SUM(G42:G45)</f>
        <v>0</v>
      </c>
      <c r="H46" s="166"/>
      <c r="I46" s="166"/>
      <c r="J46" s="166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29:I29"/>
    <mergeCell ref="A39:I39"/>
    <mergeCell ref="A40:I40"/>
    <mergeCell ref="B6:I6"/>
    <mergeCell ref="B7:I7"/>
    <mergeCell ref="A9:I9"/>
    <mergeCell ref="A10:I10"/>
    <mergeCell ref="A17:I17"/>
    <mergeCell ref="A18:I18"/>
    <mergeCell ref="A28:I28"/>
  </mergeCells>
  <dataValidations>
    <dataValidation type="list" allowBlank="1" sqref="D12:D14 D20:D25 D31:D36 D42:D44">
      <formula1>'Data Validation'!$A$2:$A$5</formula1>
    </dataValidation>
    <dataValidation type="list" allowBlank="1" sqref="E12:E14 E20:E25 E31:E36 E42:E44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5" footer="0.0" header="0.0" left="0.7" right="0.7" top="0.5"/>
  <pageSetup fitToHeight="0" paperSize="5" cellComments="atEnd" orientation="landscape" pageOrder="overThenDown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 t="s">
        <v>605</v>
      </c>
      <c r="J1" s="2" t="s">
        <v>1</v>
      </c>
    </row>
    <row r="2">
      <c r="A2" s="3" t="s">
        <v>2</v>
      </c>
      <c r="B2" s="5" t="s">
        <v>247</v>
      </c>
      <c r="J2" s="13" t="s">
        <v>6</v>
      </c>
    </row>
    <row r="3">
      <c r="A3" s="3" t="s">
        <v>14</v>
      </c>
      <c r="B3" s="5" t="s">
        <v>610</v>
      </c>
    </row>
    <row r="4">
      <c r="A4" s="3" t="s">
        <v>17</v>
      </c>
      <c r="B4" s="5" t="s">
        <v>612</v>
      </c>
      <c r="J4" s="18" t="s">
        <v>20</v>
      </c>
    </row>
    <row r="5">
      <c r="A5" s="3" t="s">
        <v>26</v>
      </c>
      <c r="B5" s="212">
        <v>1.0</v>
      </c>
      <c r="J5" s="24" t="s">
        <v>30</v>
      </c>
    </row>
    <row r="6">
      <c r="A6" s="3" t="s">
        <v>34</v>
      </c>
      <c r="B6" s="19">
        <v>1.0</v>
      </c>
    </row>
    <row r="7">
      <c r="A7" s="3" t="s">
        <v>36</v>
      </c>
      <c r="B7" s="5" t="s">
        <v>576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617</v>
      </c>
      <c r="J9" s="26"/>
    </row>
    <row r="10" ht="18.75" customHeight="1">
      <c r="A10" s="27"/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620</v>
      </c>
    </row>
    <row r="12">
      <c r="A12" s="179" t="s">
        <v>622</v>
      </c>
      <c r="B12" s="27" t="s">
        <v>624</v>
      </c>
      <c r="C12" s="27" t="b">
        <v>1</v>
      </c>
      <c r="D12" s="27" t="s">
        <v>71</v>
      </c>
      <c r="E12" s="37">
        <v>1.0</v>
      </c>
      <c r="F12" s="194">
        <v>60.0</v>
      </c>
      <c r="G12" s="194">
        <v>40.0</v>
      </c>
      <c r="H12" s="180" t="s">
        <v>631</v>
      </c>
      <c r="I12" s="37" t="s">
        <v>632</v>
      </c>
      <c r="J12" s="225" t="s">
        <v>642</v>
      </c>
    </row>
    <row r="13">
      <c r="A13" s="179" t="s">
        <v>643</v>
      </c>
      <c r="B13" s="27">
        <v>3580380.0</v>
      </c>
      <c r="C13" s="27" t="b">
        <v>1</v>
      </c>
      <c r="D13" s="27" t="s">
        <v>82</v>
      </c>
      <c r="E13" s="37">
        <v>1.0</v>
      </c>
      <c r="F13" s="194">
        <v>30.0</v>
      </c>
      <c r="G13" s="194">
        <v>10.0</v>
      </c>
      <c r="H13" s="37" t="s">
        <v>647</v>
      </c>
      <c r="I13" s="37" t="s">
        <v>632</v>
      </c>
      <c r="J13" s="225" t="s">
        <v>642</v>
      </c>
    </row>
    <row r="14">
      <c r="A14" s="27" t="s">
        <v>649</v>
      </c>
      <c r="B14" s="27" t="s">
        <v>651</v>
      </c>
      <c r="C14" s="27" t="b">
        <v>1</v>
      </c>
      <c r="D14" s="27" t="s">
        <v>82</v>
      </c>
      <c r="E14" s="37">
        <v>1.0</v>
      </c>
      <c r="F14" s="194">
        <v>90.0</v>
      </c>
      <c r="G14" s="194">
        <v>69.0</v>
      </c>
      <c r="H14" s="37" t="s">
        <v>647</v>
      </c>
      <c r="I14" s="37" t="s">
        <v>632</v>
      </c>
      <c r="J14" s="225" t="s">
        <v>642</v>
      </c>
    </row>
    <row r="15">
      <c r="A15" s="27" t="s">
        <v>652</v>
      </c>
      <c r="B15" s="27">
        <v>3581000.0</v>
      </c>
      <c r="C15" s="27" t="b">
        <v>1</v>
      </c>
      <c r="D15" s="27" t="s">
        <v>96</v>
      </c>
      <c r="E15" s="37">
        <v>1.0</v>
      </c>
      <c r="F15" s="194">
        <v>30.0</v>
      </c>
      <c r="G15" s="194">
        <v>14.0</v>
      </c>
      <c r="H15" s="37" t="s">
        <v>631</v>
      </c>
      <c r="I15" s="37" t="s">
        <v>632</v>
      </c>
      <c r="J15" s="225" t="s">
        <v>642</v>
      </c>
    </row>
    <row r="16">
      <c r="A16" s="193" t="s">
        <v>654</v>
      </c>
      <c r="B16" s="235">
        <v>3580200.0</v>
      </c>
      <c r="C16" s="27" t="b">
        <v>1</v>
      </c>
      <c r="D16" s="27" t="s">
        <v>82</v>
      </c>
      <c r="E16" s="37">
        <v>1.0</v>
      </c>
      <c r="F16" s="202">
        <v>120.0</v>
      </c>
      <c r="G16" s="202">
        <v>92.0</v>
      </c>
      <c r="H16" s="106" t="s">
        <v>631</v>
      </c>
      <c r="I16" s="37" t="s">
        <v>632</v>
      </c>
      <c r="J16" s="225" t="s">
        <v>642</v>
      </c>
    </row>
    <row r="17">
      <c r="A17" s="27"/>
      <c r="B17" s="236"/>
      <c r="C17" s="27" t="b">
        <v>0</v>
      </c>
      <c r="D17" s="27"/>
      <c r="E17" s="37"/>
      <c r="F17" s="37"/>
      <c r="G17" s="76"/>
      <c r="H17" s="37"/>
      <c r="I17" s="76"/>
      <c r="J17" s="41"/>
    </row>
    <row r="18">
      <c r="A18" s="51"/>
      <c r="B18" s="52"/>
      <c r="C18" s="52"/>
      <c r="D18" s="52" t="s">
        <v>101</v>
      </c>
      <c r="E18" s="54">
        <f t="shared" ref="E18:F18" si="1">sum(E12:E17)</f>
        <v>5</v>
      </c>
      <c r="F18" s="54">
        <f t="shared" si="1"/>
        <v>330</v>
      </c>
      <c r="G18" s="70">
        <v>225.0</v>
      </c>
      <c r="H18" s="54"/>
      <c r="I18" s="54"/>
      <c r="J18" s="56"/>
    </row>
    <row r="19" ht="7.5" customHeight="1">
      <c r="A19" s="23"/>
      <c r="B19" s="23"/>
      <c r="C19" s="23"/>
      <c r="D19" s="23"/>
      <c r="E19" s="25"/>
      <c r="F19" s="23"/>
      <c r="G19" s="23"/>
      <c r="H19" s="23"/>
      <c r="I19" s="25"/>
      <c r="J19" s="23"/>
    </row>
  </sheetData>
  <mergeCells count="11">
    <mergeCell ref="B6:I6"/>
    <mergeCell ref="B7:I7"/>
    <mergeCell ref="A9:I9"/>
    <mergeCell ref="A10:I10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7">
      <formula1>'Data Validation'!$A$2:$A$5</formula1>
    </dataValidation>
    <dataValidation type="list" allowBlank="1" sqref="E12:E17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/>
      <c r="J1" s="2" t="s">
        <v>1</v>
      </c>
    </row>
    <row r="2">
      <c r="A2" s="3" t="s">
        <v>2</v>
      </c>
      <c r="B2" s="5" t="s">
        <v>161</v>
      </c>
      <c r="J2" s="13" t="s">
        <v>6</v>
      </c>
    </row>
    <row r="3">
      <c r="A3" s="3" t="s">
        <v>14</v>
      </c>
      <c r="B3" s="5" t="s">
        <v>609</v>
      </c>
    </row>
    <row r="4">
      <c r="A4" s="3" t="s">
        <v>17</v>
      </c>
      <c r="B4" s="5" t="s">
        <v>611</v>
      </c>
      <c r="J4" s="18" t="s">
        <v>20</v>
      </c>
    </row>
    <row r="5">
      <c r="A5" s="3" t="s">
        <v>26</v>
      </c>
      <c r="B5" s="19">
        <v>3.0</v>
      </c>
      <c r="J5" s="24" t="s">
        <v>30</v>
      </c>
    </row>
    <row r="6">
      <c r="A6" s="3" t="s">
        <v>34</v>
      </c>
      <c r="B6" s="19">
        <v>14.0</v>
      </c>
    </row>
    <row r="7">
      <c r="A7" s="3" t="s">
        <v>36</v>
      </c>
      <c r="B7" s="5" t="s">
        <v>613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616</v>
      </c>
      <c r="J9" s="26"/>
    </row>
    <row r="10" ht="18.75" customHeight="1">
      <c r="A10" s="27"/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621</v>
      </c>
    </row>
    <row r="12">
      <c r="A12" s="186" t="s">
        <v>623</v>
      </c>
      <c r="B12" s="33">
        <v>1.30112E7</v>
      </c>
      <c r="C12" s="88" t="b">
        <v>0</v>
      </c>
      <c r="D12" s="33" t="s">
        <v>58</v>
      </c>
      <c r="E12" s="85">
        <v>1.0</v>
      </c>
      <c r="F12" s="85">
        <v>350.0</v>
      </c>
      <c r="G12" s="115"/>
      <c r="H12" s="85" t="s">
        <v>633</v>
      </c>
      <c r="I12" s="85" t="s">
        <v>634</v>
      </c>
      <c r="J12" s="88"/>
    </row>
    <row r="13">
      <c r="A13" s="33" t="s">
        <v>635</v>
      </c>
      <c r="B13" s="33">
        <v>1.30117E7</v>
      </c>
      <c r="C13" s="88" t="b">
        <v>0</v>
      </c>
      <c r="D13" s="33" t="s">
        <v>71</v>
      </c>
      <c r="E13" s="85">
        <v>1.0</v>
      </c>
      <c r="F13" s="85">
        <v>105.0</v>
      </c>
      <c r="G13" s="86"/>
      <c r="H13" s="85" t="s">
        <v>637</v>
      </c>
      <c r="I13" s="85"/>
      <c r="J13" s="88"/>
    </row>
    <row r="14">
      <c r="A14" s="33" t="s">
        <v>638</v>
      </c>
      <c r="B14" s="33">
        <v>1.30122E7</v>
      </c>
      <c r="C14" s="88" t="b">
        <v>0</v>
      </c>
      <c r="D14" s="33" t="s">
        <v>96</v>
      </c>
      <c r="E14" s="85">
        <v>2.0</v>
      </c>
      <c r="F14" s="85">
        <v>50.0</v>
      </c>
      <c r="G14" s="86"/>
      <c r="H14" s="223" t="s">
        <v>640</v>
      </c>
      <c r="I14" s="85" t="s">
        <v>88</v>
      </c>
      <c r="J14" s="33"/>
    </row>
    <row r="15">
      <c r="A15" s="188" t="s">
        <v>641</v>
      </c>
      <c r="B15" s="188">
        <v>1.30121E7</v>
      </c>
      <c r="C15" s="224" t="b">
        <v>0</v>
      </c>
      <c r="D15" s="188" t="s">
        <v>82</v>
      </c>
      <c r="E15" s="227">
        <v>1.0</v>
      </c>
      <c r="F15" s="223">
        <v>70.0</v>
      </c>
      <c r="G15" s="228"/>
      <c r="H15" s="223" t="s">
        <v>640</v>
      </c>
      <c r="I15" s="85" t="s">
        <v>88</v>
      </c>
      <c r="J15" s="33" t="s">
        <v>645</v>
      </c>
    </row>
    <row r="16">
      <c r="A16" s="186" t="s">
        <v>646</v>
      </c>
      <c r="B16" s="33">
        <v>1.27013E7</v>
      </c>
      <c r="C16" s="88" t="b">
        <v>0</v>
      </c>
      <c r="D16" s="33" t="s">
        <v>96</v>
      </c>
      <c r="E16" s="85">
        <v>2.0</v>
      </c>
      <c r="F16" s="85">
        <v>40.0</v>
      </c>
      <c r="G16" s="86"/>
      <c r="H16" s="85" t="s">
        <v>648</v>
      </c>
      <c r="I16" s="85" t="s">
        <v>650</v>
      </c>
      <c r="J16" s="88"/>
    </row>
    <row r="17">
      <c r="A17" s="51"/>
      <c r="B17" s="52"/>
      <c r="C17" s="52"/>
      <c r="D17" s="52" t="s">
        <v>101</v>
      </c>
      <c r="E17" s="54">
        <f t="shared" ref="E17:F17" si="1">sum(E13:E16)</f>
        <v>6</v>
      </c>
      <c r="F17" s="54">
        <f t="shared" si="1"/>
        <v>265</v>
      </c>
      <c r="G17" s="54"/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30" t="s">
        <v>657</v>
      </c>
      <c r="J19" s="26"/>
    </row>
    <row r="20" ht="18.75" customHeight="1">
      <c r="A20" s="27"/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661</v>
      </c>
    </row>
    <row r="22">
      <c r="A22" s="186" t="s">
        <v>623</v>
      </c>
      <c r="B22" s="33">
        <v>1.30112E7</v>
      </c>
      <c r="C22" s="88" t="b">
        <v>0</v>
      </c>
      <c r="D22" s="33" t="s">
        <v>58</v>
      </c>
      <c r="E22" s="85">
        <v>1.0</v>
      </c>
      <c r="F22" s="85">
        <v>350.0</v>
      </c>
      <c r="G22" s="115"/>
      <c r="H22" s="85" t="s">
        <v>633</v>
      </c>
      <c r="I22" s="85" t="s">
        <v>634</v>
      </c>
      <c r="J22" s="88"/>
    </row>
    <row r="23">
      <c r="A23" s="33" t="s">
        <v>97</v>
      </c>
      <c r="B23" s="33">
        <v>1.303465E7</v>
      </c>
      <c r="C23" s="33" t="b">
        <v>0</v>
      </c>
      <c r="D23" s="33" t="s">
        <v>82</v>
      </c>
      <c r="E23" s="85">
        <v>0.5</v>
      </c>
      <c r="F23" s="85">
        <v>70.0</v>
      </c>
      <c r="G23" s="86"/>
      <c r="H23" s="85" t="s">
        <v>672</v>
      </c>
      <c r="I23" s="85" t="s">
        <v>88</v>
      </c>
      <c r="J23" s="33" t="s">
        <v>412</v>
      </c>
    </row>
    <row r="24">
      <c r="A24" s="33" t="s">
        <v>673</v>
      </c>
      <c r="B24" s="33">
        <v>1.30342E7</v>
      </c>
      <c r="C24" s="88" t="b">
        <v>0</v>
      </c>
      <c r="D24" s="33" t="s">
        <v>82</v>
      </c>
      <c r="E24" s="85">
        <v>0.5</v>
      </c>
      <c r="F24" s="85">
        <v>70.0</v>
      </c>
      <c r="G24" s="86"/>
      <c r="H24" s="85" t="s">
        <v>674</v>
      </c>
      <c r="I24" s="85" t="s">
        <v>88</v>
      </c>
      <c r="J24" s="33"/>
    </row>
    <row r="25">
      <c r="A25" s="33" t="s">
        <v>676</v>
      </c>
      <c r="B25" s="132">
        <v>1.30346E7</v>
      </c>
      <c r="C25" s="33" t="b">
        <v>0</v>
      </c>
      <c r="D25" s="33" t="s">
        <v>71</v>
      </c>
      <c r="E25" s="85">
        <v>0.5</v>
      </c>
      <c r="F25" s="85">
        <v>140.0</v>
      </c>
      <c r="G25" s="86"/>
      <c r="H25" s="85" t="s">
        <v>678</v>
      </c>
      <c r="I25" s="85" t="s">
        <v>680</v>
      </c>
      <c r="J25" s="33"/>
    </row>
    <row r="26">
      <c r="A26" s="33" t="s">
        <v>290</v>
      </c>
      <c r="B26" s="33">
        <v>1.3012E7</v>
      </c>
      <c r="C26" s="33" t="b">
        <v>0</v>
      </c>
      <c r="D26" s="33" t="s">
        <v>71</v>
      </c>
      <c r="E26" s="85">
        <v>0.5</v>
      </c>
      <c r="F26" s="85">
        <v>140.0</v>
      </c>
      <c r="G26" s="86"/>
      <c r="H26" s="85" t="s">
        <v>682</v>
      </c>
      <c r="I26" s="85" t="s">
        <v>88</v>
      </c>
      <c r="J26" s="33"/>
    </row>
    <row r="27">
      <c r="A27" s="51"/>
      <c r="B27" s="52"/>
      <c r="C27" s="52"/>
      <c r="D27" s="52" t="s">
        <v>101</v>
      </c>
      <c r="E27" s="54">
        <f t="shared" ref="E27:F27" si="2">sum(E23:E26)</f>
        <v>2</v>
      </c>
      <c r="F27" s="54">
        <f t="shared" si="2"/>
        <v>420</v>
      </c>
      <c r="G27" s="54"/>
      <c r="H27" s="54"/>
      <c r="I27" s="54"/>
      <c r="J27" s="56"/>
    </row>
    <row r="28" ht="7.5" customHeight="1">
      <c r="A28" s="23"/>
      <c r="B28" s="23"/>
      <c r="C28" s="23"/>
      <c r="D28" s="23"/>
      <c r="E28" s="25"/>
      <c r="F28" s="23"/>
      <c r="G28" s="23"/>
      <c r="H28" s="23"/>
      <c r="I28" s="25"/>
      <c r="J28" s="23"/>
    </row>
    <row r="29" ht="18.75" customHeight="1">
      <c r="A29" s="152" t="s">
        <v>688</v>
      </c>
      <c r="J29" s="231"/>
    </row>
    <row r="30" ht="38.25" customHeight="1">
      <c r="A30" s="244" t="s">
        <v>41</v>
      </c>
      <c r="B30" s="245" t="s">
        <v>42</v>
      </c>
      <c r="C30" s="246" t="s">
        <v>43</v>
      </c>
      <c r="D30" s="245" t="s">
        <v>46</v>
      </c>
      <c r="E30" s="246" t="s">
        <v>47</v>
      </c>
      <c r="F30" s="29" t="s">
        <v>48</v>
      </c>
      <c r="G30" s="29" t="s">
        <v>49</v>
      </c>
      <c r="H30" s="246" t="s">
        <v>50</v>
      </c>
      <c r="I30" s="246" t="s">
        <v>51</v>
      </c>
      <c r="J30" s="246" t="s">
        <v>696</v>
      </c>
    </row>
    <row r="31">
      <c r="A31" s="186" t="s">
        <v>623</v>
      </c>
      <c r="B31" s="33">
        <v>1.30112E7</v>
      </c>
      <c r="C31" s="88" t="b">
        <v>0</v>
      </c>
      <c r="D31" s="33" t="s">
        <v>58</v>
      </c>
      <c r="E31" s="85">
        <v>1.0</v>
      </c>
      <c r="F31" s="85">
        <v>350.0</v>
      </c>
      <c r="G31" s="115"/>
      <c r="H31" s="85" t="s">
        <v>633</v>
      </c>
      <c r="I31" s="85" t="s">
        <v>634</v>
      </c>
      <c r="J31" s="88"/>
    </row>
    <row r="32">
      <c r="A32" s="127" t="s">
        <v>413</v>
      </c>
      <c r="B32" s="248">
        <v>1.30344E7</v>
      </c>
      <c r="C32" s="249" t="b">
        <v>0</v>
      </c>
      <c r="D32" s="249" t="s">
        <v>71</v>
      </c>
      <c r="E32" s="223">
        <v>1.0</v>
      </c>
      <c r="F32" s="223">
        <v>60.0</v>
      </c>
      <c r="G32" s="228"/>
      <c r="H32" s="85" t="s">
        <v>648</v>
      </c>
      <c r="I32" s="85" t="s">
        <v>88</v>
      </c>
      <c r="J32" s="188" t="s">
        <v>75</v>
      </c>
    </row>
    <row r="33">
      <c r="A33" s="127" t="s">
        <v>310</v>
      </c>
      <c r="B33" s="248" t="s">
        <v>311</v>
      </c>
      <c r="C33" s="249" t="b">
        <v>1</v>
      </c>
      <c r="D33" s="249" t="s">
        <v>82</v>
      </c>
      <c r="E33" s="223">
        <v>1.0</v>
      </c>
      <c r="F33" s="223">
        <v>0.0</v>
      </c>
      <c r="G33" s="223"/>
      <c r="H33" s="85" t="s">
        <v>648</v>
      </c>
      <c r="I33" s="85" t="s">
        <v>88</v>
      </c>
      <c r="J33" s="188" t="s">
        <v>75</v>
      </c>
    </row>
    <row r="34" ht="18.75" customHeight="1">
      <c r="A34" s="242"/>
      <c r="B34" s="242"/>
      <c r="C34" s="242"/>
      <c r="D34" s="242" t="s">
        <v>101</v>
      </c>
      <c r="E34" s="257">
        <f t="shared" ref="E34:F34" si="3">sum(E31:E33)</f>
        <v>3</v>
      </c>
      <c r="F34" s="257">
        <f t="shared" si="3"/>
        <v>410</v>
      </c>
      <c r="G34" s="257"/>
      <c r="H34" s="242"/>
      <c r="I34" s="242"/>
      <c r="J34" s="242"/>
    </row>
    <row r="35">
      <c r="A35" s="51"/>
      <c r="B35" s="52"/>
      <c r="C35" s="52"/>
      <c r="D35" s="52" t="s">
        <v>101</v>
      </c>
      <c r="E35" s="54" t="str">
        <f t="shared" ref="E35:F35" si="4">sum(#REF!)</f>
        <v>#REF!</v>
      </c>
      <c r="F35" s="54" t="str">
        <f t="shared" si="4"/>
        <v>#REF!</v>
      </c>
      <c r="G35" s="54"/>
      <c r="H35" s="54"/>
      <c r="I35" s="54"/>
      <c r="J35" s="56"/>
    </row>
    <row r="36" ht="7.5" customHeight="1">
      <c r="A36" s="23"/>
      <c r="B36" s="23"/>
      <c r="C36" s="23"/>
      <c r="D36" s="23"/>
      <c r="E36" s="25"/>
      <c r="F36" s="23"/>
      <c r="G36" s="23"/>
      <c r="H36" s="23"/>
      <c r="I36" s="25"/>
      <c r="J36" s="23"/>
    </row>
  </sheetData>
  <mergeCells count="14">
    <mergeCell ref="B6:I6"/>
    <mergeCell ref="B7:I7"/>
    <mergeCell ref="A9:I9"/>
    <mergeCell ref="A10:I10"/>
    <mergeCell ref="A19:I19"/>
    <mergeCell ref="A20:I20"/>
    <mergeCell ref="A29:I29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6 D22:D26 D31:D33">
      <formula1>'Data Validation'!$A$2:$A$5</formula1>
    </dataValidation>
    <dataValidation type="list" allowBlank="1" sqref="E12:E16 E22:E26 E31:E33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3.0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59.88"/>
  </cols>
  <sheetData>
    <row r="1" ht="66.75" customHeight="1">
      <c r="A1" s="214" t="s">
        <v>614</v>
      </c>
      <c r="J1" s="215" t="s">
        <v>1</v>
      </c>
    </row>
    <row r="2">
      <c r="A2" s="216" t="s">
        <v>2</v>
      </c>
      <c r="B2" s="217" t="s">
        <v>167</v>
      </c>
      <c r="J2" s="218" t="s">
        <v>6</v>
      </c>
    </row>
    <row r="3">
      <c r="A3" s="216" t="s">
        <v>14</v>
      </c>
      <c r="B3" s="217" t="s">
        <v>625</v>
      </c>
    </row>
    <row r="4">
      <c r="A4" s="216" t="s">
        <v>17</v>
      </c>
      <c r="B4" s="219" t="s">
        <v>626</v>
      </c>
      <c r="J4" s="220" t="s">
        <v>20</v>
      </c>
    </row>
    <row r="5">
      <c r="A5" s="216" t="s">
        <v>26</v>
      </c>
      <c r="B5" s="221">
        <v>4.0</v>
      </c>
      <c r="J5" s="226" t="s">
        <v>30</v>
      </c>
    </row>
    <row r="6">
      <c r="A6" s="216" t="s">
        <v>34</v>
      </c>
      <c r="B6" s="221">
        <v>3.0</v>
      </c>
    </row>
    <row r="7">
      <c r="A7" s="216" t="s">
        <v>36</v>
      </c>
      <c r="B7" s="217" t="s">
        <v>644</v>
      </c>
      <c r="J7" s="229"/>
    </row>
    <row r="8" ht="7.5" customHeight="1">
      <c r="A8" s="166"/>
      <c r="B8" s="166"/>
      <c r="C8" s="166"/>
      <c r="D8" s="166"/>
      <c r="E8" s="166"/>
      <c r="F8" s="166"/>
      <c r="G8" s="166"/>
      <c r="H8" s="166"/>
      <c r="I8" s="166"/>
      <c r="J8" s="166"/>
    </row>
    <row r="9" ht="18.75" customHeight="1">
      <c r="A9" s="230" t="s">
        <v>38</v>
      </c>
      <c r="J9" s="231"/>
    </row>
    <row r="10" ht="18.75" customHeight="1">
      <c r="A10" s="232" t="s">
        <v>653</v>
      </c>
      <c r="J10" s="191"/>
    </row>
    <row r="11">
      <c r="A11" s="233" t="s">
        <v>41</v>
      </c>
      <c r="B11" s="233" t="s">
        <v>42</v>
      </c>
      <c r="C11" s="234" t="s">
        <v>43</v>
      </c>
      <c r="D11" s="233" t="s">
        <v>46</v>
      </c>
      <c r="E11" s="234" t="s">
        <v>47</v>
      </c>
      <c r="F11" s="29" t="s">
        <v>48</v>
      </c>
      <c r="G11" s="29" t="s">
        <v>49</v>
      </c>
      <c r="H11" s="234" t="s">
        <v>50</v>
      </c>
      <c r="I11" s="234" t="s">
        <v>51</v>
      </c>
      <c r="J11" s="234" t="s">
        <v>656</v>
      </c>
    </row>
    <row r="12">
      <c r="A12" s="127" t="s">
        <v>658</v>
      </c>
      <c r="B12" s="191">
        <v>1.30393E7</v>
      </c>
      <c r="C12" s="207" t="b">
        <v>0</v>
      </c>
      <c r="D12" s="232" t="s">
        <v>58</v>
      </c>
      <c r="E12" s="194">
        <v>1.0</v>
      </c>
      <c r="F12" s="238">
        <v>75.0</v>
      </c>
      <c r="G12" s="239"/>
      <c r="H12" s="238" t="s">
        <v>662</v>
      </c>
      <c r="I12" s="238" t="s">
        <v>88</v>
      </c>
      <c r="J12" s="240" t="s">
        <v>65</v>
      </c>
    </row>
    <row r="13">
      <c r="A13" s="241" t="s">
        <v>663</v>
      </c>
      <c r="B13" s="206">
        <v>1.30398E7</v>
      </c>
      <c r="C13" s="207" t="b">
        <v>0</v>
      </c>
      <c r="D13" s="206" t="s">
        <v>71</v>
      </c>
      <c r="E13" s="208">
        <v>2.0</v>
      </c>
      <c r="F13" s="238">
        <v>75.0</v>
      </c>
      <c r="G13" s="239"/>
      <c r="H13" s="238" t="s">
        <v>662</v>
      </c>
      <c r="I13" s="238" t="s">
        <v>88</v>
      </c>
      <c r="J13" s="42" t="s">
        <v>665</v>
      </c>
    </row>
    <row r="14">
      <c r="A14" s="241" t="s">
        <v>666</v>
      </c>
      <c r="B14" s="206">
        <v>1.30399E7</v>
      </c>
      <c r="C14" s="207" t="b">
        <v>0</v>
      </c>
      <c r="D14" s="206" t="s">
        <v>82</v>
      </c>
      <c r="E14" s="208">
        <v>2.0</v>
      </c>
      <c r="F14" s="238">
        <v>50.0</v>
      </c>
      <c r="G14" s="239"/>
      <c r="H14" s="238" t="s">
        <v>669</v>
      </c>
      <c r="I14" s="238" t="s">
        <v>670</v>
      </c>
      <c r="J14" s="42" t="s">
        <v>665</v>
      </c>
    </row>
    <row r="15">
      <c r="A15" s="241" t="s">
        <v>671</v>
      </c>
      <c r="B15" s="206">
        <v>1.304045E7</v>
      </c>
      <c r="C15" s="207" t="b">
        <v>0</v>
      </c>
      <c r="D15" s="206" t="s">
        <v>96</v>
      </c>
      <c r="E15" s="208">
        <v>2.0</v>
      </c>
      <c r="F15" s="238">
        <v>50.0</v>
      </c>
      <c r="G15" s="239"/>
      <c r="H15" s="238" t="s">
        <v>669</v>
      </c>
      <c r="I15" s="238" t="s">
        <v>670</v>
      </c>
      <c r="J15" s="42" t="s">
        <v>665</v>
      </c>
    </row>
    <row r="16">
      <c r="A16" s="126"/>
      <c r="B16" s="242"/>
      <c r="C16" s="242"/>
      <c r="D16" s="242" t="s">
        <v>101</v>
      </c>
      <c r="E16" s="165">
        <f t="shared" ref="E16:G16" si="1">sum(E12:E15)</f>
        <v>7</v>
      </c>
      <c r="F16" s="165">
        <f t="shared" si="1"/>
        <v>250</v>
      </c>
      <c r="G16" s="243">
        <f t="shared" si="1"/>
        <v>0</v>
      </c>
      <c r="H16" s="126"/>
      <c r="I16" s="126"/>
      <c r="J16" s="126"/>
    </row>
    <row r="17" ht="7.5" customHeight="1">
      <c r="A17" s="166"/>
      <c r="B17" s="166"/>
      <c r="C17" s="166"/>
      <c r="D17" s="166"/>
      <c r="E17" s="166"/>
      <c r="F17" s="166"/>
      <c r="G17" s="166"/>
      <c r="H17" s="166"/>
      <c r="I17" s="166"/>
      <c r="J17" s="166"/>
    </row>
    <row r="18" ht="18.75" customHeight="1">
      <c r="A18" s="230" t="s">
        <v>135</v>
      </c>
      <c r="J18" s="231"/>
    </row>
    <row r="19" ht="18.75" customHeight="1">
      <c r="A19" s="191" t="s">
        <v>540</v>
      </c>
      <c r="J19" s="191"/>
    </row>
    <row r="20">
      <c r="A20" s="233" t="s">
        <v>41</v>
      </c>
      <c r="B20" s="233" t="s">
        <v>42</v>
      </c>
      <c r="C20" s="234" t="s">
        <v>43</v>
      </c>
      <c r="D20" s="233" t="s">
        <v>46</v>
      </c>
      <c r="E20" s="234" t="s">
        <v>47</v>
      </c>
      <c r="F20" s="29" t="s">
        <v>48</v>
      </c>
      <c r="G20" s="29" t="s">
        <v>49</v>
      </c>
      <c r="H20" s="234" t="s">
        <v>50</v>
      </c>
      <c r="I20" s="234" t="s">
        <v>51</v>
      </c>
      <c r="J20" s="234" t="s">
        <v>683</v>
      </c>
    </row>
    <row r="21">
      <c r="A21" s="241" t="s">
        <v>684</v>
      </c>
      <c r="B21" s="241">
        <v>1.30112E7</v>
      </c>
      <c r="C21" s="224" t="b">
        <v>0</v>
      </c>
      <c r="D21" s="241" t="s">
        <v>58</v>
      </c>
      <c r="E21" s="205">
        <v>1.0</v>
      </c>
      <c r="F21" s="223">
        <v>150.0</v>
      </c>
      <c r="G21" s="228"/>
      <c r="H21" s="223" t="s">
        <v>685</v>
      </c>
      <c r="I21" s="205" t="s">
        <v>686</v>
      </c>
      <c r="J21" s="224"/>
    </row>
    <row r="22">
      <c r="A22" s="127" t="s">
        <v>687</v>
      </c>
      <c r="B22" s="241">
        <v>1.30114E7</v>
      </c>
      <c r="C22" s="224" t="b">
        <v>0</v>
      </c>
      <c r="D22" s="241" t="s">
        <v>58</v>
      </c>
      <c r="E22" s="205">
        <v>1.0</v>
      </c>
      <c r="F22" s="223">
        <v>120.0</v>
      </c>
      <c r="G22" s="228"/>
      <c r="H22" s="223" t="s">
        <v>689</v>
      </c>
      <c r="I22" s="205" t="s">
        <v>686</v>
      </c>
      <c r="J22" s="127" t="s">
        <v>690</v>
      </c>
    </row>
    <row r="23">
      <c r="A23" s="241" t="s">
        <v>691</v>
      </c>
      <c r="B23" s="241">
        <v>1.30114E7</v>
      </c>
      <c r="C23" s="224" t="b">
        <v>0</v>
      </c>
      <c r="D23" s="241" t="s">
        <v>58</v>
      </c>
      <c r="E23" s="205">
        <v>1.0</v>
      </c>
      <c r="F23" s="223">
        <v>120.0</v>
      </c>
      <c r="G23" s="228"/>
      <c r="H23" s="223" t="s">
        <v>694</v>
      </c>
      <c r="I23" s="205" t="s">
        <v>686</v>
      </c>
      <c r="J23" s="127" t="s">
        <v>690</v>
      </c>
    </row>
    <row r="24">
      <c r="A24" s="241" t="s">
        <v>695</v>
      </c>
      <c r="B24" s="224">
        <v>1.30165E7</v>
      </c>
      <c r="C24" s="224" t="b">
        <v>0</v>
      </c>
      <c r="D24" s="241" t="s">
        <v>82</v>
      </c>
      <c r="E24" s="205">
        <v>1.0</v>
      </c>
      <c r="F24" s="223">
        <v>100.0</v>
      </c>
      <c r="G24" s="228"/>
      <c r="H24" s="223" t="s">
        <v>694</v>
      </c>
      <c r="I24" s="205" t="s">
        <v>686</v>
      </c>
      <c r="J24" s="241" t="s">
        <v>697</v>
      </c>
    </row>
    <row r="25">
      <c r="A25" s="241" t="s">
        <v>698</v>
      </c>
      <c r="B25" s="241">
        <v>1.30164E7</v>
      </c>
      <c r="C25" s="224" t="b">
        <v>0</v>
      </c>
      <c r="D25" s="241" t="s">
        <v>96</v>
      </c>
      <c r="E25" s="205">
        <v>1.0</v>
      </c>
      <c r="F25" s="223">
        <v>75.0</v>
      </c>
      <c r="G25" s="228"/>
      <c r="H25" s="223" t="s">
        <v>689</v>
      </c>
      <c r="I25" s="205" t="s">
        <v>686</v>
      </c>
      <c r="J25" s="241" t="s">
        <v>697</v>
      </c>
    </row>
    <row r="26">
      <c r="A26" s="247" t="s">
        <v>700</v>
      </c>
      <c r="B26" s="241">
        <v>1.30122E7</v>
      </c>
      <c r="C26" s="224" t="b">
        <v>0</v>
      </c>
      <c r="D26" s="241" t="s">
        <v>96</v>
      </c>
      <c r="E26" s="205">
        <v>2.0</v>
      </c>
      <c r="F26" s="223">
        <v>25.0</v>
      </c>
      <c r="G26" s="228"/>
      <c r="H26" s="223" t="s">
        <v>685</v>
      </c>
      <c r="I26" s="205" t="s">
        <v>686</v>
      </c>
      <c r="J26" s="241" t="s">
        <v>697</v>
      </c>
    </row>
    <row r="27">
      <c r="A27" s="126"/>
      <c r="B27" s="242"/>
      <c r="C27" s="242"/>
      <c r="D27" s="242" t="s">
        <v>101</v>
      </c>
      <c r="E27" s="165">
        <f t="shared" ref="E27:G27" si="2">sum(E21:E26)</f>
        <v>7</v>
      </c>
      <c r="F27" s="165">
        <f t="shared" si="2"/>
        <v>590</v>
      </c>
      <c r="G27" s="165">
        <f t="shared" si="2"/>
        <v>0</v>
      </c>
      <c r="H27" s="126"/>
      <c r="I27" s="126"/>
      <c r="J27" s="126"/>
    </row>
    <row r="28" ht="7.5" customHeight="1">
      <c r="A28" s="166"/>
      <c r="B28" s="166"/>
      <c r="C28" s="166"/>
      <c r="D28" s="166"/>
      <c r="E28" s="166"/>
      <c r="F28" s="166"/>
      <c r="G28" s="166"/>
      <c r="H28" s="166"/>
      <c r="I28" s="166"/>
      <c r="J28" s="166"/>
    </row>
    <row r="29" ht="18.75" customHeight="1">
      <c r="A29" s="230" t="s">
        <v>111</v>
      </c>
      <c r="J29" s="231"/>
    </row>
    <row r="30" ht="18.75" customHeight="1">
      <c r="A30" s="191" t="s">
        <v>713</v>
      </c>
      <c r="J30" s="191"/>
    </row>
    <row r="31">
      <c r="A31" s="233" t="s">
        <v>41</v>
      </c>
      <c r="B31" s="233" t="s">
        <v>42</v>
      </c>
      <c r="C31" s="234" t="s">
        <v>43</v>
      </c>
      <c r="D31" s="233" t="s">
        <v>46</v>
      </c>
      <c r="E31" s="234" t="s">
        <v>47</v>
      </c>
      <c r="F31" s="29" t="s">
        <v>48</v>
      </c>
      <c r="G31" s="29" t="s">
        <v>49</v>
      </c>
      <c r="H31" s="234" t="s">
        <v>50</v>
      </c>
      <c r="I31" s="234" t="s">
        <v>51</v>
      </c>
      <c r="J31" s="234" t="s">
        <v>716</v>
      </c>
    </row>
    <row r="32">
      <c r="A32" s="259" t="s">
        <v>718</v>
      </c>
      <c r="B32" s="260">
        <v>1.30272E7</v>
      </c>
      <c r="C32" s="191" t="b">
        <v>1</v>
      </c>
      <c r="D32" s="260" t="s">
        <v>58</v>
      </c>
      <c r="E32" s="261">
        <v>1.0</v>
      </c>
      <c r="F32" s="262">
        <v>75.0</v>
      </c>
      <c r="G32" s="263">
        <v>59.0</v>
      </c>
      <c r="H32" s="262" t="s">
        <v>720</v>
      </c>
      <c r="I32" s="262" t="s">
        <v>88</v>
      </c>
      <c r="J32" s="264" t="s">
        <v>721</v>
      </c>
    </row>
    <row r="33">
      <c r="A33" s="265" t="s">
        <v>722</v>
      </c>
      <c r="B33" s="260">
        <v>1.30273E7</v>
      </c>
      <c r="C33" s="260" t="b">
        <v>1</v>
      </c>
      <c r="D33" s="260" t="s">
        <v>71</v>
      </c>
      <c r="E33" s="261">
        <v>1.0</v>
      </c>
      <c r="F33" s="262">
        <v>100.0</v>
      </c>
      <c r="G33" s="263">
        <v>46.0</v>
      </c>
      <c r="H33" s="262" t="s">
        <v>723</v>
      </c>
      <c r="I33" s="262" t="s">
        <v>88</v>
      </c>
      <c r="J33" s="264"/>
    </row>
    <row r="34">
      <c r="A34" s="265" t="s">
        <v>600</v>
      </c>
      <c r="B34" s="202">
        <v>3580200.0</v>
      </c>
      <c r="C34" s="206" t="b">
        <v>0</v>
      </c>
      <c r="D34" s="202" t="s">
        <v>71</v>
      </c>
      <c r="E34" s="262">
        <v>1.0</v>
      </c>
      <c r="F34" s="262">
        <v>100.0</v>
      </c>
      <c r="G34" s="263">
        <v>58.0</v>
      </c>
      <c r="H34" s="262" t="s">
        <v>723</v>
      </c>
      <c r="I34" s="262" t="s">
        <v>88</v>
      </c>
      <c r="J34" s="266" t="s">
        <v>727</v>
      </c>
    </row>
    <row r="35">
      <c r="A35" s="203" t="s">
        <v>604</v>
      </c>
      <c r="B35" s="202">
        <v>3581500.0</v>
      </c>
      <c r="C35" s="206" t="b">
        <v>0</v>
      </c>
      <c r="D35" s="202" t="s">
        <v>96</v>
      </c>
      <c r="E35" s="261">
        <v>1.0</v>
      </c>
      <c r="F35" s="262">
        <v>0.0</v>
      </c>
      <c r="G35" s="263">
        <v>12.0</v>
      </c>
      <c r="H35" s="262" t="s">
        <v>720</v>
      </c>
      <c r="I35" s="262" t="s">
        <v>88</v>
      </c>
      <c r="J35" s="266" t="s">
        <v>732</v>
      </c>
    </row>
    <row r="36">
      <c r="A36" s="203" t="s">
        <v>733</v>
      </c>
      <c r="B36" s="202">
        <v>3580900.0</v>
      </c>
      <c r="C36" s="206" t="b">
        <v>0</v>
      </c>
      <c r="D36" s="260" t="s">
        <v>96</v>
      </c>
      <c r="E36" s="261">
        <v>1.0</v>
      </c>
      <c r="F36" s="262">
        <v>75.0</v>
      </c>
      <c r="G36" s="263">
        <v>39.0</v>
      </c>
      <c r="H36" s="262" t="s">
        <v>738</v>
      </c>
      <c r="I36" s="262" t="s">
        <v>88</v>
      </c>
      <c r="J36" s="266" t="s">
        <v>727</v>
      </c>
    </row>
    <row r="37">
      <c r="A37" s="203" t="s">
        <v>739</v>
      </c>
      <c r="B37" s="260">
        <v>1.302751E7</v>
      </c>
      <c r="C37" s="206" t="b">
        <v>0</v>
      </c>
      <c r="D37" s="202" t="s">
        <v>96</v>
      </c>
      <c r="E37" s="261">
        <v>2.0</v>
      </c>
      <c r="F37" s="262">
        <v>0.0</v>
      </c>
      <c r="G37" s="263">
        <v>6.0</v>
      </c>
      <c r="H37" s="262" t="s">
        <v>738</v>
      </c>
      <c r="I37" s="262" t="s">
        <v>88</v>
      </c>
      <c r="J37" s="266" t="s">
        <v>732</v>
      </c>
    </row>
    <row r="38" ht="1.5" customHeight="1">
      <c r="A38" s="126"/>
      <c r="B38" s="242"/>
      <c r="C38" s="242"/>
      <c r="D38" s="242" t="s">
        <v>101</v>
      </c>
      <c r="E38" s="165">
        <f t="shared" ref="E38:G38" si="3">sum(E32:E37)</f>
        <v>7</v>
      </c>
      <c r="F38" s="165">
        <f t="shared" si="3"/>
        <v>350</v>
      </c>
      <c r="G38" s="165">
        <f t="shared" si="3"/>
        <v>220</v>
      </c>
      <c r="H38" s="210"/>
      <c r="I38" s="126"/>
      <c r="J38" s="126"/>
    </row>
    <row r="39" ht="1.5" customHeight="1">
      <c r="A39" s="166"/>
      <c r="B39" s="166"/>
      <c r="C39" s="166"/>
      <c r="D39" s="166"/>
      <c r="E39" s="166"/>
      <c r="F39" s="166"/>
      <c r="G39" s="166"/>
      <c r="H39" s="166"/>
      <c r="I39" s="166"/>
      <c r="J39" s="166"/>
    </row>
    <row r="40" ht="18.75" customHeight="1">
      <c r="A40" s="269"/>
      <c r="B40" s="269"/>
      <c r="C40" s="269"/>
      <c r="D40" s="269"/>
      <c r="E40" s="269"/>
      <c r="F40" s="269"/>
      <c r="G40" s="270">
        <v>331.0</v>
      </c>
      <c r="H40" s="269"/>
      <c r="I40" s="269"/>
      <c r="J40" s="271"/>
    </row>
    <row r="41" ht="19.5" customHeight="1">
      <c r="A41" s="230" t="s">
        <v>169</v>
      </c>
      <c r="J41" s="272"/>
    </row>
    <row r="42" ht="18.75" customHeight="1">
      <c r="A42" s="273" t="s">
        <v>753</v>
      </c>
      <c r="J42" s="126"/>
    </row>
    <row r="43" ht="22.5" customHeight="1">
      <c r="A43" s="233" t="s">
        <v>41</v>
      </c>
      <c r="B43" s="233" t="s">
        <v>42</v>
      </c>
      <c r="C43" s="234" t="s">
        <v>43</v>
      </c>
      <c r="D43" s="233" t="s">
        <v>46</v>
      </c>
      <c r="E43" s="234" t="s">
        <v>47</v>
      </c>
      <c r="F43" s="29" t="s">
        <v>48</v>
      </c>
      <c r="G43" s="29" t="s">
        <v>49</v>
      </c>
      <c r="H43" s="234" t="s">
        <v>50</v>
      </c>
      <c r="I43" s="234" t="s">
        <v>51</v>
      </c>
      <c r="J43" s="126"/>
    </row>
    <row r="44" ht="18.75" customHeight="1">
      <c r="A44" s="127" t="s">
        <v>216</v>
      </c>
      <c r="B44" s="232">
        <v>1.30278E7</v>
      </c>
      <c r="C44" s="207" t="b">
        <v>0</v>
      </c>
      <c r="D44" s="232" t="s">
        <v>58</v>
      </c>
      <c r="E44" s="208">
        <v>1.0</v>
      </c>
      <c r="F44" s="238">
        <v>25.0</v>
      </c>
      <c r="G44" s="239"/>
      <c r="H44" s="238" t="s">
        <v>757</v>
      </c>
      <c r="I44" s="238" t="s">
        <v>88</v>
      </c>
      <c r="J44" s="274"/>
    </row>
    <row r="45" ht="20.25" customHeight="1">
      <c r="A45" s="275" t="s">
        <v>221</v>
      </c>
      <c r="B45" s="232">
        <v>1.30088E7</v>
      </c>
      <c r="C45" s="207" t="b">
        <v>0</v>
      </c>
      <c r="D45" s="232" t="s">
        <v>71</v>
      </c>
      <c r="E45" s="208">
        <v>1.0</v>
      </c>
      <c r="F45" s="277"/>
      <c r="G45" s="277"/>
      <c r="H45" s="238" t="s">
        <v>757</v>
      </c>
      <c r="I45" s="238" t="s">
        <v>88</v>
      </c>
      <c r="J45" s="274"/>
    </row>
    <row r="46" ht="20.25" customHeight="1">
      <c r="A46" s="106" t="s">
        <v>68</v>
      </c>
      <c r="B46" s="232">
        <v>1.30083E7</v>
      </c>
      <c r="C46" s="207" t="b">
        <v>0</v>
      </c>
      <c r="D46" s="232" t="s">
        <v>82</v>
      </c>
      <c r="E46" s="208">
        <v>1.0</v>
      </c>
      <c r="F46" s="238"/>
      <c r="G46" s="238"/>
      <c r="H46" s="238"/>
      <c r="I46" s="238"/>
      <c r="J46" s="274" t="s">
        <v>228</v>
      </c>
    </row>
    <row r="47" ht="21.0" customHeight="1">
      <c r="A47" s="232" t="s">
        <v>604</v>
      </c>
      <c r="B47" s="232">
        <v>3581500.0</v>
      </c>
      <c r="C47" s="207" t="b">
        <v>0</v>
      </c>
      <c r="D47" s="232" t="s">
        <v>96</v>
      </c>
      <c r="E47" s="208">
        <v>1.0</v>
      </c>
      <c r="F47" s="277"/>
      <c r="G47" s="277"/>
      <c r="H47" s="207"/>
      <c r="I47" s="207"/>
      <c r="J47" s="279"/>
    </row>
    <row r="48" ht="7.5" customHeight="1">
      <c r="A48" s="126"/>
      <c r="B48" s="242"/>
      <c r="C48" s="242"/>
      <c r="D48" s="242"/>
      <c r="E48" s="165"/>
      <c r="F48" s="165"/>
      <c r="G48" s="165"/>
      <c r="H48" s="126"/>
      <c r="I48" s="126"/>
      <c r="J48" s="279"/>
    </row>
    <row r="49" ht="7.5" customHeight="1">
      <c r="A49" s="126"/>
      <c r="B49" s="242"/>
      <c r="C49" s="242"/>
      <c r="D49" s="242"/>
      <c r="E49" s="165"/>
      <c r="F49" s="165"/>
      <c r="G49" s="165"/>
      <c r="H49" s="126"/>
      <c r="I49" s="126"/>
      <c r="J49" s="279"/>
    </row>
    <row r="50" ht="7.5" customHeight="1">
      <c r="A50" s="126"/>
      <c r="B50" s="242"/>
      <c r="C50" s="242"/>
      <c r="D50" s="242"/>
      <c r="E50" s="165"/>
      <c r="F50" s="165"/>
      <c r="G50" s="165"/>
      <c r="H50" s="126"/>
      <c r="I50" s="126"/>
      <c r="J50" s="279"/>
    </row>
    <row r="51" ht="7.5" customHeight="1">
      <c r="A51" s="126"/>
      <c r="B51" s="242"/>
      <c r="C51" s="242"/>
      <c r="D51" s="242"/>
      <c r="E51" s="165"/>
      <c r="F51" s="165"/>
      <c r="G51" s="165"/>
      <c r="H51" s="126"/>
      <c r="I51" s="126"/>
      <c r="J51" s="279"/>
    </row>
    <row r="52" ht="7.5" customHeight="1">
      <c r="A52" s="126"/>
      <c r="B52" s="242"/>
      <c r="C52" s="242"/>
      <c r="D52" s="242"/>
      <c r="E52" s="165"/>
      <c r="F52" s="165"/>
      <c r="G52" s="165"/>
      <c r="H52" s="126"/>
      <c r="I52" s="126"/>
      <c r="J52" s="166"/>
    </row>
    <row r="53" ht="7.5" customHeight="1">
      <c r="A53" s="126"/>
      <c r="B53" s="242"/>
      <c r="C53" s="242"/>
      <c r="D53" s="242"/>
      <c r="E53" s="165"/>
      <c r="F53" s="165"/>
      <c r="G53" s="165"/>
      <c r="H53" s="126"/>
      <c r="I53" s="126"/>
      <c r="J53" s="166"/>
    </row>
    <row r="54" ht="7.5" customHeight="1">
      <c r="A54" s="126"/>
      <c r="B54" s="242"/>
      <c r="C54" s="242"/>
      <c r="D54" s="242"/>
      <c r="E54" s="165"/>
      <c r="F54" s="165"/>
      <c r="G54" s="165"/>
      <c r="H54" s="126"/>
      <c r="I54" s="126"/>
      <c r="J54" s="166"/>
    </row>
    <row r="55" ht="7.5" customHeight="1">
      <c r="A55" s="126"/>
      <c r="B55" s="242"/>
      <c r="C55" s="242"/>
      <c r="D55" s="242"/>
      <c r="E55" s="165"/>
      <c r="F55" s="165"/>
      <c r="G55" s="165"/>
      <c r="H55" s="126"/>
      <c r="I55" s="126"/>
      <c r="J55" s="166"/>
    </row>
    <row r="56" ht="7.5" customHeight="1">
      <c r="A56" s="126"/>
      <c r="B56" s="242"/>
      <c r="C56" s="242"/>
      <c r="D56" s="242"/>
      <c r="E56" s="165"/>
      <c r="F56" s="165"/>
      <c r="G56" s="165"/>
      <c r="H56" s="126"/>
      <c r="I56" s="126"/>
      <c r="J56" s="166"/>
    </row>
    <row r="57" ht="7.5" customHeight="1">
      <c r="A57" s="126"/>
      <c r="B57" s="242"/>
      <c r="C57" s="242"/>
      <c r="D57" s="242"/>
      <c r="E57" s="165"/>
      <c r="F57" s="165"/>
      <c r="G57" s="165"/>
      <c r="H57" s="126"/>
      <c r="I57" s="126"/>
      <c r="J57" s="166"/>
    </row>
    <row r="58" ht="7.5" customHeight="1">
      <c r="A58" s="126"/>
      <c r="B58" s="242"/>
      <c r="C58" s="242"/>
      <c r="D58" s="242"/>
      <c r="E58" s="165"/>
      <c r="F58" s="165"/>
      <c r="G58" s="165"/>
      <c r="H58" s="126"/>
      <c r="I58" s="126"/>
      <c r="J58" s="166"/>
    </row>
    <row r="59" ht="7.5" customHeight="1">
      <c r="A59" s="126"/>
      <c r="B59" s="242"/>
      <c r="C59" s="242"/>
      <c r="D59" s="242"/>
      <c r="E59" s="165"/>
      <c r="F59" s="165"/>
      <c r="G59" s="165"/>
      <c r="H59" s="126"/>
      <c r="I59" s="126"/>
      <c r="J59" s="166"/>
    </row>
    <row r="60" ht="7.5" customHeight="1">
      <c r="A60" s="126"/>
      <c r="B60" s="242"/>
      <c r="C60" s="242"/>
      <c r="D60" s="242"/>
      <c r="E60" s="165"/>
      <c r="F60" s="165"/>
      <c r="G60" s="165"/>
      <c r="H60" s="126"/>
      <c r="I60" s="126"/>
      <c r="J60" s="166"/>
    </row>
    <row r="61" ht="7.5" customHeight="1">
      <c r="A61" s="126"/>
      <c r="B61" s="242"/>
      <c r="C61" s="242"/>
      <c r="D61" s="242"/>
      <c r="E61" s="165"/>
      <c r="F61" s="165"/>
      <c r="G61" s="165"/>
      <c r="H61" s="126"/>
      <c r="I61" s="126"/>
      <c r="J61" s="166"/>
    </row>
    <row r="62" ht="7.5" customHeight="1">
      <c r="A62" s="126"/>
      <c r="B62" s="242"/>
      <c r="C62" s="242"/>
      <c r="D62" s="242"/>
      <c r="E62" s="165"/>
      <c r="F62" s="165"/>
      <c r="G62" s="165"/>
      <c r="H62" s="126"/>
      <c r="I62" s="126"/>
      <c r="J62" s="166"/>
    </row>
    <row r="63" ht="7.5" customHeight="1">
      <c r="A63" s="126"/>
      <c r="B63" s="242"/>
      <c r="C63" s="242"/>
      <c r="D63" s="242"/>
      <c r="E63" s="165"/>
      <c r="F63" s="165"/>
      <c r="G63" s="165"/>
      <c r="H63" s="126"/>
      <c r="I63" s="126"/>
      <c r="J63" s="166"/>
    </row>
    <row r="64" ht="7.5" customHeight="1">
      <c r="A64" s="126"/>
      <c r="B64" s="242"/>
      <c r="C64" s="242"/>
      <c r="D64" s="242"/>
      <c r="E64" s="165"/>
      <c r="F64" s="165"/>
      <c r="G64" s="165"/>
      <c r="H64" s="126"/>
      <c r="I64" s="126"/>
      <c r="J64" s="166"/>
    </row>
    <row r="65" ht="7.5" customHeight="1">
      <c r="A65" s="126"/>
      <c r="B65" s="242"/>
      <c r="C65" s="242"/>
      <c r="D65" s="242"/>
      <c r="E65" s="165"/>
      <c r="F65" s="165"/>
      <c r="G65" s="165"/>
      <c r="H65" s="126"/>
      <c r="I65" s="126"/>
      <c r="J65" s="166"/>
    </row>
    <row r="66" ht="7.5" customHeight="1">
      <c r="A66" s="126"/>
      <c r="B66" s="242"/>
      <c r="C66" s="242"/>
      <c r="D66" s="242"/>
      <c r="E66" s="165"/>
      <c r="F66" s="165"/>
      <c r="G66" s="165"/>
      <c r="H66" s="126"/>
      <c r="I66" s="126"/>
      <c r="J66" s="166"/>
    </row>
    <row r="67" ht="7.5" customHeight="1">
      <c r="A67" s="126"/>
      <c r="B67" s="242"/>
      <c r="C67" s="242"/>
      <c r="D67" s="242"/>
      <c r="E67" s="165"/>
      <c r="F67" s="165"/>
      <c r="G67" s="165"/>
      <c r="H67" s="126"/>
      <c r="I67" s="126"/>
      <c r="J67" s="166"/>
    </row>
    <row r="68" ht="7.5" customHeight="1">
      <c r="A68" s="126"/>
      <c r="B68" s="242"/>
      <c r="C68" s="242"/>
      <c r="D68" s="242"/>
      <c r="E68" s="165"/>
      <c r="F68" s="165"/>
      <c r="G68" s="165"/>
      <c r="H68" s="126"/>
      <c r="I68" s="126"/>
      <c r="J68" s="166"/>
    </row>
    <row r="69" ht="7.5" customHeight="1">
      <c r="A69" s="126"/>
      <c r="B69" s="242"/>
      <c r="C69" s="242"/>
      <c r="D69" s="242"/>
      <c r="E69" s="165"/>
      <c r="F69" s="165"/>
      <c r="G69" s="165"/>
      <c r="H69" s="126"/>
      <c r="I69" s="126"/>
      <c r="J69" s="166"/>
    </row>
    <row r="70" ht="7.5" customHeight="1">
      <c r="A70" s="126"/>
      <c r="B70" s="242"/>
      <c r="C70" s="242"/>
      <c r="D70" s="242"/>
      <c r="E70" s="165"/>
      <c r="F70" s="165"/>
      <c r="G70" s="165"/>
      <c r="H70" s="126"/>
      <c r="I70" s="126"/>
      <c r="J70" s="166"/>
    </row>
    <row r="71" ht="7.5" customHeight="1">
      <c r="A71" s="126"/>
      <c r="B71" s="242"/>
      <c r="C71" s="242"/>
      <c r="D71" s="242"/>
      <c r="E71" s="165"/>
      <c r="F71" s="165"/>
      <c r="G71" s="165"/>
      <c r="H71" s="126"/>
      <c r="I71" s="126"/>
      <c r="J71" s="166"/>
    </row>
    <row r="72" ht="7.5" customHeight="1">
      <c r="A72" s="126"/>
      <c r="B72" s="242"/>
      <c r="C72" s="242"/>
      <c r="D72" s="242"/>
      <c r="E72" s="165"/>
      <c r="F72" s="165"/>
      <c r="G72" s="165"/>
      <c r="H72" s="126"/>
      <c r="I72" s="126"/>
      <c r="J72" s="166"/>
    </row>
    <row r="73" ht="7.5" customHeight="1">
      <c r="A73" s="126"/>
      <c r="B73" s="242"/>
      <c r="C73" s="242"/>
      <c r="D73" s="242"/>
      <c r="E73" s="165"/>
      <c r="F73" s="165"/>
      <c r="G73" s="165"/>
      <c r="H73" s="126"/>
      <c r="I73" s="126"/>
      <c r="J73" s="166"/>
    </row>
    <row r="74" ht="7.5" customHeight="1">
      <c r="A74" s="126"/>
      <c r="B74" s="242"/>
      <c r="C74" s="242"/>
      <c r="D74" s="242"/>
      <c r="E74" s="165"/>
      <c r="F74" s="165"/>
      <c r="G74" s="165"/>
      <c r="H74" s="126"/>
      <c r="I74" s="126"/>
      <c r="J74" s="166"/>
    </row>
    <row r="75" ht="7.5" customHeight="1">
      <c r="A75" s="126"/>
      <c r="B75" s="242"/>
      <c r="C75" s="242"/>
      <c r="D75" s="242"/>
      <c r="E75" s="165"/>
      <c r="F75" s="165"/>
      <c r="G75" s="165"/>
      <c r="H75" s="126"/>
      <c r="I75" s="126"/>
      <c r="J75" s="166"/>
    </row>
    <row r="76" ht="7.5" customHeight="1">
      <c r="A76" s="126"/>
      <c r="B76" s="242"/>
      <c r="C76" s="242"/>
      <c r="D76" s="242"/>
      <c r="E76" s="165"/>
      <c r="F76" s="165"/>
      <c r="G76" s="165"/>
      <c r="H76" s="126"/>
      <c r="I76" s="126"/>
      <c r="J76" s="166"/>
    </row>
    <row r="77" ht="7.5" customHeight="1">
      <c r="A77" s="126"/>
      <c r="B77" s="242"/>
      <c r="C77" s="242"/>
      <c r="D77" s="242"/>
      <c r="E77" s="165"/>
      <c r="F77" s="165"/>
      <c r="G77" s="165"/>
      <c r="H77" s="126"/>
      <c r="I77" s="126"/>
      <c r="J77" s="166"/>
    </row>
    <row r="78" ht="7.5" customHeight="1">
      <c r="A78" s="126"/>
      <c r="B78" s="242"/>
      <c r="C78" s="242"/>
      <c r="D78" s="242"/>
      <c r="E78" s="165"/>
      <c r="F78" s="165"/>
      <c r="G78" s="165"/>
      <c r="H78" s="126"/>
      <c r="I78" s="126"/>
      <c r="J78" s="166"/>
    </row>
    <row r="79" ht="7.5" customHeight="1">
      <c r="A79" s="126"/>
      <c r="B79" s="242"/>
      <c r="C79" s="242"/>
      <c r="D79" s="242"/>
      <c r="E79" s="165"/>
      <c r="F79" s="165"/>
      <c r="G79" s="165"/>
      <c r="H79" s="126"/>
      <c r="I79" s="126"/>
      <c r="J79" s="166"/>
    </row>
    <row r="80" ht="7.5" customHeight="1">
      <c r="A80" s="126"/>
      <c r="B80" s="242"/>
      <c r="C80" s="242"/>
      <c r="D80" s="242"/>
      <c r="E80" s="165"/>
      <c r="F80" s="165"/>
      <c r="G80" s="165"/>
      <c r="H80" s="126"/>
      <c r="I80" s="126"/>
      <c r="J80" s="166"/>
    </row>
    <row r="81" ht="7.5" customHeight="1">
      <c r="A81" s="126"/>
      <c r="B81" s="242"/>
      <c r="C81" s="242"/>
      <c r="D81" s="242"/>
      <c r="E81" s="165"/>
      <c r="F81" s="165"/>
      <c r="G81" s="165"/>
      <c r="H81" s="126"/>
      <c r="I81" s="126"/>
      <c r="J81" s="166"/>
    </row>
    <row r="82" ht="7.5" customHeight="1">
      <c r="A82" s="126"/>
      <c r="B82" s="242"/>
      <c r="C82" s="242"/>
      <c r="D82" s="242"/>
      <c r="E82" s="165"/>
      <c r="F82" s="165"/>
      <c r="G82" s="165"/>
      <c r="H82" s="126"/>
      <c r="I82" s="126"/>
      <c r="J82" s="166"/>
    </row>
    <row r="83" ht="7.5" customHeight="1">
      <c r="A83" s="126"/>
      <c r="B83" s="242"/>
      <c r="C83" s="242"/>
      <c r="D83" s="242"/>
      <c r="E83" s="165"/>
      <c r="F83" s="165"/>
      <c r="G83" s="165"/>
      <c r="H83" s="126"/>
      <c r="I83" s="126"/>
      <c r="J83" s="166"/>
    </row>
    <row r="84" ht="7.5" customHeight="1">
      <c r="A84" s="126"/>
      <c r="B84" s="242"/>
      <c r="C84" s="242"/>
      <c r="D84" s="242"/>
      <c r="E84" s="165"/>
      <c r="F84" s="165"/>
      <c r="G84" s="165"/>
      <c r="H84" s="126"/>
      <c r="I84" s="126"/>
      <c r="J84" s="166"/>
    </row>
    <row r="85" ht="7.5" customHeight="1">
      <c r="A85" s="126"/>
      <c r="B85" s="242"/>
      <c r="C85" s="242"/>
      <c r="D85" s="242"/>
      <c r="E85" s="165"/>
      <c r="F85" s="165"/>
      <c r="G85" s="165"/>
      <c r="H85" s="126"/>
      <c r="I85" s="126"/>
      <c r="J85" s="166"/>
    </row>
    <row r="86" ht="7.5" customHeight="1">
      <c r="A86" s="126"/>
      <c r="B86" s="242"/>
      <c r="C86" s="242"/>
      <c r="D86" s="242"/>
      <c r="E86" s="165"/>
      <c r="F86" s="165"/>
      <c r="G86" s="165"/>
      <c r="H86" s="126"/>
      <c r="I86" s="126"/>
      <c r="J86" s="166"/>
    </row>
    <row r="87" ht="7.5" customHeight="1">
      <c r="A87" s="126"/>
      <c r="B87" s="242"/>
      <c r="C87" s="242"/>
      <c r="D87" s="242"/>
      <c r="E87" s="165"/>
      <c r="F87" s="165"/>
      <c r="G87" s="165"/>
      <c r="H87" s="126"/>
      <c r="I87" s="126"/>
      <c r="J87" s="166"/>
    </row>
    <row r="88" ht="7.5" customHeight="1">
      <c r="A88" s="126"/>
      <c r="B88" s="242"/>
      <c r="C88" s="242"/>
      <c r="D88" s="242"/>
      <c r="E88" s="165"/>
      <c r="F88" s="165"/>
      <c r="G88" s="165"/>
      <c r="H88" s="126"/>
      <c r="I88" s="126"/>
      <c r="J88" s="166"/>
    </row>
    <row r="89" ht="7.5" customHeight="1">
      <c r="A89" s="126"/>
      <c r="B89" s="242"/>
      <c r="C89" s="242"/>
      <c r="D89" s="242"/>
      <c r="E89" s="165"/>
      <c r="F89" s="165"/>
      <c r="G89" s="165"/>
      <c r="H89" s="126"/>
      <c r="I89" s="126"/>
      <c r="J89" s="166"/>
    </row>
    <row r="90" ht="7.5" customHeight="1">
      <c r="A90" s="126"/>
      <c r="B90" s="242"/>
      <c r="C90" s="242"/>
      <c r="D90" s="242"/>
      <c r="E90" s="165"/>
      <c r="F90" s="165"/>
      <c r="G90" s="165"/>
      <c r="H90" s="126"/>
      <c r="I90" s="126"/>
      <c r="J90" s="166"/>
    </row>
    <row r="91" ht="7.5" customHeight="1">
      <c r="A91" s="126"/>
      <c r="B91" s="242"/>
      <c r="C91" s="242"/>
      <c r="D91" s="242"/>
      <c r="E91" s="165"/>
      <c r="F91" s="165"/>
      <c r="G91" s="165"/>
      <c r="H91" s="126"/>
      <c r="I91" s="126"/>
      <c r="J91" s="166"/>
    </row>
    <row r="92" ht="7.5" customHeight="1">
      <c r="A92" s="126"/>
      <c r="B92" s="242"/>
      <c r="C92" s="242"/>
      <c r="D92" s="242"/>
      <c r="E92" s="165"/>
      <c r="F92" s="165"/>
      <c r="G92" s="165"/>
      <c r="H92" s="126"/>
      <c r="I92" s="126"/>
      <c r="J92" s="166"/>
    </row>
    <row r="93" ht="7.5" customHeight="1">
      <c r="A93" s="126"/>
      <c r="B93" s="242"/>
      <c r="C93" s="242"/>
      <c r="D93" s="242"/>
      <c r="E93" s="165"/>
      <c r="F93" s="165"/>
      <c r="G93" s="165"/>
      <c r="H93" s="126"/>
      <c r="I93" s="126"/>
      <c r="J93" s="166"/>
    </row>
    <row r="94" ht="7.5" customHeight="1">
      <c r="A94" s="126"/>
      <c r="B94" s="242"/>
      <c r="C94" s="242"/>
      <c r="D94" s="242"/>
      <c r="E94" s="165"/>
      <c r="F94" s="165"/>
      <c r="G94" s="165"/>
      <c r="H94" s="126"/>
      <c r="I94" s="126"/>
      <c r="J94" s="166"/>
    </row>
    <row r="95" ht="7.5" customHeight="1">
      <c r="A95" s="126"/>
      <c r="B95" s="242"/>
      <c r="C95" s="242"/>
      <c r="D95" s="242"/>
      <c r="E95" s="165"/>
      <c r="F95" s="165"/>
      <c r="G95" s="165"/>
      <c r="H95" s="126"/>
      <c r="I95" s="126"/>
      <c r="J95" s="166"/>
    </row>
    <row r="96" ht="7.5" customHeight="1">
      <c r="A96" s="126"/>
      <c r="B96" s="242"/>
      <c r="C96" s="242"/>
      <c r="D96" s="242"/>
      <c r="E96" s="165"/>
      <c r="F96" s="165"/>
      <c r="G96" s="165"/>
      <c r="H96" s="126"/>
      <c r="I96" s="126"/>
      <c r="J96" s="166"/>
    </row>
    <row r="97" ht="7.5" customHeight="1">
      <c r="A97" s="126"/>
      <c r="B97" s="242"/>
      <c r="C97" s="242"/>
      <c r="D97" s="242"/>
      <c r="E97" s="165"/>
      <c r="F97" s="165"/>
      <c r="G97" s="165"/>
      <c r="H97" s="126"/>
      <c r="I97" s="126"/>
      <c r="J97" s="166"/>
    </row>
    <row r="98" ht="7.5" customHeight="1">
      <c r="A98" s="126"/>
      <c r="B98" s="242"/>
      <c r="C98" s="242"/>
      <c r="D98" s="242"/>
      <c r="E98" s="165"/>
      <c r="F98" s="165"/>
      <c r="G98" s="165"/>
      <c r="H98" s="126"/>
      <c r="I98" s="126"/>
      <c r="J98" s="166"/>
    </row>
    <row r="99" ht="7.5" customHeight="1">
      <c r="A99" s="126"/>
      <c r="B99" s="242"/>
      <c r="C99" s="242"/>
      <c r="D99" s="242"/>
      <c r="E99" s="165"/>
      <c r="F99" s="165"/>
      <c r="G99" s="165"/>
      <c r="H99" s="126"/>
      <c r="I99" s="126"/>
      <c r="J99" s="166"/>
    </row>
    <row r="100" ht="7.5" customHeight="1">
      <c r="A100" s="126"/>
      <c r="B100" s="242"/>
      <c r="C100" s="242"/>
      <c r="D100" s="242"/>
      <c r="E100" s="165"/>
      <c r="F100" s="165"/>
      <c r="G100" s="165"/>
      <c r="H100" s="126"/>
      <c r="I100" s="126"/>
      <c r="J100" s="166"/>
    </row>
    <row r="101" ht="7.5" customHeight="1">
      <c r="A101" s="126"/>
      <c r="B101" s="242"/>
      <c r="C101" s="242"/>
      <c r="D101" s="242"/>
      <c r="E101" s="165"/>
      <c r="F101" s="165"/>
      <c r="G101" s="165"/>
      <c r="H101" s="126"/>
      <c r="I101" s="126"/>
      <c r="J101" s="166"/>
    </row>
    <row r="102" ht="7.5" customHeight="1">
      <c r="A102" s="126"/>
      <c r="B102" s="242"/>
      <c r="C102" s="242"/>
      <c r="D102" s="242"/>
      <c r="E102" s="165"/>
      <c r="F102" s="165"/>
      <c r="G102" s="165"/>
      <c r="H102" s="126"/>
      <c r="I102" s="126"/>
      <c r="J102" s="166"/>
    </row>
    <row r="103" ht="7.5" customHeight="1">
      <c r="A103" s="126"/>
      <c r="B103" s="242"/>
      <c r="C103" s="242"/>
      <c r="D103" s="242"/>
      <c r="E103" s="165"/>
      <c r="F103" s="165"/>
      <c r="G103" s="165"/>
      <c r="H103" s="126"/>
      <c r="I103" s="126"/>
      <c r="J103" s="166"/>
    </row>
    <row r="104" ht="7.5" customHeight="1">
      <c r="A104" s="126"/>
      <c r="B104" s="242"/>
      <c r="C104" s="242"/>
      <c r="D104" s="242"/>
      <c r="E104" s="165"/>
      <c r="F104" s="165"/>
      <c r="G104" s="165"/>
      <c r="H104" s="126"/>
      <c r="I104" s="126"/>
      <c r="J104" s="166"/>
    </row>
    <row r="105" ht="7.5" customHeight="1">
      <c r="A105" s="126"/>
      <c r="B105" s="242"/>
      <c r="C105" s="242"/>
      <c r="D105" s="242"/>
      <c r="E105" s="165"/>
      <c r="F105" s="165"/>
      <c r="G105" s="165"/>
      <c r="H105" s="126"/>
      <c r="I105" s="126"/>
      <c r="J105" s="166"/>
    </row>
    <row r="106" ht="7.5" customHeight="1">
      <c r="A106" s="126"/>
      <c r="B106" s="242"/>
      <c r="C106" s="242"/>
      <c r="D106" s="242"/>
      <c r="E106" s="165"/>
      <c r="F106" s="165"/>
      <c r="G106" s="165"/>
      <c r="H106" s="126"/>
      <c r="I106" s="126"/>
      <c r="J106" s="166"/>
    </row>
    <row r="107" ht="7.5" customHeight="1">
      <c r="A107" s="126"/>
      <c r="B107" s="242"/>
      <c r="C107" s="242"/>
      <c r="D107" s="242"/>
      <c r="E107" s="165"/>
      <c r="F107" s="165"/>
      <c r="G107" s="165"/>
      <c r="H107" s="126"/>
      <c r="I107" s="126"/>
      <c r="J107" s="166"/>
    </row>
    <row r="108" ht="7.5" customHeight="1">
      <c r="A108" s="126"/>
      <c r="B108" s="242"/>
      <c r="C108" s="242"/>
      <c r="D108" s="242"/>
      <c r="E108" s="165"/>
      <c r="F108" s="165"/>
      <c r="G108" s="165"/>
      <c r="H108" s="126"/>
      <c r="I108" s="126"/>
      <c r="J108" s="166"/>
    </row>
    <row r="109" ht="7.5" customHeight="1">
      <c r="A109" s="126"/>
      <c r="B109" s="242"/>
      <c r="C109" s="242"/>
      <c r="D109" s="242"/>
      <c r="E109" s="165"/>
      <c r="F109" s="165"/>
      <c r="G109" s="165"/>
      <c r="H109" s="126"/>
      <c r="I109" s="126"/>
      <c r="J109" s="166"/>
    </row>
    <row r="110" ht="7.5" customHeight="1">
      <c r="A110" s="126"/>
      <c r="B110" s="242"/>
      <c r="C110" s="242"/>
      <c r="D110" s="242"/>
      <c r="E110" s="165"/>
      <c r="F110" s="165"/>
      <c r="G110" s="165"/>
      <c r="H110" s="126"/>
      <c r="I110" s="126"/>
      <c r="J110" s="166"/>
    </row>
    <row r="111" ht="7.5" customHeight="1">
      <c r="A111" s="126"/>
      <c r="B111" s="242"/>
      <c r="C111" s="242"/>
      <c r="D111" s="242"/>
      <c r="E111" s="165"/>
      <c r="F111" s="165"/>
      <c r="G111" s="165"/>
      <c r="H111" s="126"/>
      <c r="I111" s="126"/>
      <c r="J111" s="166"/>
    </row>
    <row r="112" ht="7.5" customHeight="1">
      <c r="A112" s="126"/>
      <c r="B112" s="242"/>
      <c r="C112" s="242"/>
      <c r="D112" s="242"/>
      <c r="E112" s="165"/>
      <c r="F112" s="165"/>
      <c r="G112" s="165"/>
      <c r="H112" s="126"/>
      <c r="I112" s="126"/>
      <c r="J112" s="166"/>
    </row>
    <row r="113" ht="7.5" customHeight="1">
      <c r="A113" s="126"/>
      <c r="B113" s="242"/>
      <c r="C113" s="242"/>
      <c r="D113" s="242"/>
      <c r="E113" s="165"/>
      <c r="F113" s="165"/>
      <c r="G113" s="165"/>
      <c r="H113" s="126"/>
      <c r="I113" s="126"/>
      <c r="J113" s="166"/>
    </row>
    <row r="114" ht="7.5" customHeight="1">
      <c r="A114" s="126"/>
      <c r="B114" s="242"/>
      <c r="C114" s="242"/>
      <c r="D114" s="242"/>
      <c r="E114" s="165"/>
      <c r="F114" s="165"/>
      <c r="G114" s="165"/>
      <c r="H114" s="126"/>
      <c r="I114" s="126"/>
      <c r="J114" s="166"/>
    </row>
    <row r="115" ht="7.5" customHeight="1">
      <c r="A115" s="126"/>
      <c r="B115" s="242"/>
      <c r="C115" s="242"/>
      <c r="D115" s="242"/>
      <c r="E115" s="165"/>
      <c r="F115" s="165"/>
      <c r="G115" s="165"/>
      <c r="H115" s="126"/>
      <c r="I115" s="126"/>
      <c r="J115" s="166"/>
    </row>
    <row r="116" ht="7.5" customHeight="1">
      <c r="A116" s="126"/>
      <c r="B116" s="242"/>
      <c r="C116" s="242"/>
      <c r="D116" s="242"/>
      <c r="E116" s="165"/>
      <c r="F116" s="165"/>
      <c r="G116" s="165"/>
      <c r="H116" s="126"/>
      <c r="I116" s="126"/>
      <c r="J116" s="166"/>
    </row>
    <row r="117" ht="7.5" customHeight="1">
      <c r="A117" s="126"/>
      <c r="B117" s="242"/>
      <c r="C117" s="242"/>
      <c r="D117" s="242"/>
      <c r="E117" s="165"/>
      <c r="F117" s="165"/>
      <c r="G117" s="165"/>
      <c r="H117" s="126"/>
      <c r="I117" s="126"/>
      <c r="J117" s="166"/>
    </row>
    <row r="118" ht="7.5" customHeight="1">
      <c r="A118" s="126"/>
      <c r="B118" s="242"/>
      <c r="C118" s="242"/>
      <c r="D118" s="242"/>
      <c r="E118" s="165"/>
      <c r="F118" s="165"/>
      <c r="G118" s="165"/>
      <c r="H118" s="126"/>
      <c r="I118" s="126"/>
      <c r="J118" s="166"/>
    </row>
    <row r="119" ht="7.5" customHeight="1">
      <c r="A119" s="126"/>
      <c r="B119" s="242"/>
      <c r="C119" s="242"/>
      <c r="D119" s="242"/>
      <c r="E119" s="165"/>
      <c r="F119" s="165"/>
      <c r="G119" s="165"/>
      <c r="H119" s="126"/>
      <c r="I119" s="126"/>
      <c r="J119" s="166"/>
    </row>
    <row r="120" ht="7.5" customHeight="1">
      <c r="A120" s="126"/>
      <c r="B120" s="242"/>
      <c r="C120" s="242"/>
      <c r="D120" s="242"/>
      <c r="E120" s="165"/>
      <c r="F120" s="165"/>
      <c r="G120" s="165"/>
      <c r="H120" s="126"/>
      <c r="I120" s="126"/>
      <c r="J120" s="166"/>
    </row>
    <row r="121" ht="7.5" customHeight="1">
      <c r="A121" s="126"/>
      <c r="B121" s="242"/>
      <c r="C121" s="242"/>
      <c r="D121" s="242"/>
      <c r="E121" s="165"/>
      <c r="F121" s="165"/>
      <c r="G121" s="165"/>
      <c r="H121" s="126"/>
      <c r="I121" s="126"/>
      <c r="J121" s="166"/>
    </row>
    <row r="122" ht="7.5" customHeight="1">
      <c r="A122" s="126"/>
      <c r="B122" s="242"/>
      <c r="C122" s="242"/>
      <c r="D122" s="242"/>
      <c r="E122" s="165"/>
      <c r="F122" s="165"/>
      <c r="G122" s="165"/>
      <c r="H122" s="126"/>
      <c r="I122" s="126"/>
      <c r="J122" s="166"/>
    </row>
    <row r="123" ht="7.5" customHeight="1">
      <c r="A123" s="126"/>
      <c r="B123" s="242"/>
      <c r="C123" s="242"/>
      <c r="D123" s="242"/>
      <c r="E123" s="165"/>
      <c r="F123" s="165"/>
      <c r="G123" s="165"/>
      <c r="H123" s="126"/>
      <c r="I123" s="126"/>
      <c r="J123" s="166"/>
    </row>
    <row r="124" ht="7.5" customHeight="1">
      <c r="A124" s="126"/>
      <c r="B124" s="242"/>
      <c r="C124" s="242"/>
      <c r="D124" s="242"/>
      <c r="E124" s="165"/>
      <c r="F124" s="165"/>
      <c r="G124" s="165"/>
      <c r="H124" s="126"/>
      <c r="I124" s="126"/>
      <c r="J124" s="166"/>
    </row>
    <row r="125" ht="7.5" customHeight="1">
      <c r="A125" s="126"/>
      <c r="B125" s="242"/>
      <c r="C125" s="242"/>
      <c r="D125" s="242"/>
      <c r="E125" s="165"/>
      <c r="F125" s="165"/>
      <c r="G125" s="165"/>
      <c r="H125" s="126"/>
      <c r="I125" s="126"/>
      <c r="J125" s="166"/>
    </row>
    <row r="126" ht="7.5" customHeight="1">
      <c r="A126" s="126"/>
      <c r="B126" s="242"/>
      <c r="C126" s="242"/>
      <c r="D126" s="242"/>
      <c r="E126" s="165"/>
      <c r="F126" s="165"/>
      <c r="G126" s="165"/>
      <c r="H126" s="126"/>
      <c r="I126" s="126"/>
      <c r="J126" s="166"/>
    </row>
    <row r="127" ht="7.5" customHeight="1">
      <c r="A127" s="126"/>
      <c r="B127" s="242"/>
      <c r="C127" s="242"/>
      <c r="D127" s="242"/>
      <c r="E127" s="165"/>
      <c r="F127" s="165"/>
      <c r="G127" s="165"/>
      <c r="H127" s="126"/>
      <c r="I127" s="126"/>
      <c r="J127" s="166"/>
    </row>
    <row r="128" ht="7.5" customHeight="1">
      <c r="A128" s="126"/>
      <c r="B128" s="242"/>
      <c r="C128" s="242"/>
      <c r="D128" s="242"/>
      <c r="E128" s="165"/>
      <c r="F128" s="165"/>
      <c r="G128" s="165"/>
      <c r="H128" s="126"/>
      <c r="I128" s="126"/>
      <c r="J128" s="166"/>
    </row>
    <row r="129" ht="7.5" customHeight="1">
      <c r="A129" s="126"/>
      <c r="B129" s="242"/>
      <c r="C129" s="242"/>
      <c r="D129" s="242"/>
      <c r="E129" s="165"/>
      <c r="F129" s="165"/>
      <c r="G129" s="165"/>
      <c r="H129" s="126"/>
      <c r="I129" s="126"/>
      <c r="J129" s="166"/>
    </row>
    <row r="130" ht="7.5" customHeight="1">
      <c r="A130" s="126"/>
      <c r="B130" s="242"/>
      <c r="C130" s="242"/>
      <c r="D130" s="242"/>
      <c r="E130" s="165"/>
      <c r="F130" s="165"/>
      <c r="G130" s="165"/>
      <c r="H130" s="126"/>
      <c r="I130" s="126"/>
      <c r="J130" s="166"/>
    </row>
    <row r="131" ht="7.5" customHeight="1">
      <c r="A131" s="126"/>
      <c r="B131" s="242"/>
      <c r="C131" s="242"/>
      <c r="D131" s="242"/>
      <c r="E131" s="165"/>
      <c r="F131" s="165"/>
      <c r="G131" s="165"/>
      <c r="H131" s="126"/>
      <c r="I131" s="126"/>
      <c r="J131" s="166"/>
    </row>
    <row r="132" ht="7.5" customHeight="1">
      <c r="A132" s="126"/>
      <c r="B132" s="242"/>
      <c r="C132" s="242"/>
      <c r="D132" s="242"/>
      <c r="E132" s="165"/>
      <c r="F132" s="165"/>
      <c r="G132" s="165"/>
      <c r="H132" s="126"/>
      <c r="I132" s="126"/>
      <c r="J132" s="166"/>
    </row>
    <row r="133" ht="7.5" customHeight="1">
      <c r="A133" s="126"/>
      <c r="B133" s="242"/>
      <c r="C133" s="242"/>
      <c r="D133" s="242"/>
      <c r="E133" s="165"/>
      <c r="F133" s="165"/>
      <c r="G133" s="165"/>
      <c r="H133" s="126"/>
      <c r="I133" s="126"/>
      <c r="J133" s="166"/>
    </row>
    <row r="134" ht="7.5" customHeight="1">
      <c r="A134" s="126"/>
      <c r="B134" s="242"/>
      <c r="C134" s="242"/>
      <c r="D134" s="242"/>
      <c r="E134" s="165"/>
      <c r="F134" s="165"/>
      <c r="G134" s="165"/>
      <c r="H134" s="126"/>
      <c r="I134" s="126"/>
      <c r="J134" s="166"/>
    </row>
    <row r="135" ht="7.5" customHeight="1">
      <c r="A135" s="126"/>
      <c r="B135" s="242"/>
      <c r="C135" s="242"/>
      <c r="D135" s="242"/>
      <c r="E135" s="165"/>
      <c r="F135" s="165"/>
      <c r="G135" s="165"/>
      <c r="H135" s="126"/>
      <c r="I135" s="126"/>
      <c r="J135" s="166"/>
    </row>
    <row r="136" ht="7.5" customHeight="1">
      <c r="A136" s="126"/>
      <c r="B136" s="242"/>
      <c r="C136" s="242"/>
      <c r="D136" s="242"/>
      <c r="E136" s="165"/>
      <c r="F136" s="165"/>
      <c r="G136" s="165"/>
      <c r="H136" s="126"/>
      <c r="I136" s="126"/>
      <c r="J136" s="166"/>
    </row>
    <row r="137" ht="7.5" customHeight="1">
      <c r="A137" s="126"/>
      <c r="B137" s="242"/>
      <c r="C137" s="242"/>
      <c r="D137" s="242"/>
      <c r="E137" s="165"/>
      <c r="F137" s="165"/>
      <c r="G137" s="165"/>
      <c r="H137" s="126"/>
      <c r="I137" s="126"/>
      <c r="J137" s="166"/>
    </row>
    <row r="138" ht="7.5" customHeight="1">
      <c r="A138" s="126"/>
      <c r="B138" s="242"/>
      <c r="C138" s="242"/>
      <c r="D138" s="242"/>
      <c r="E138" s="165"/>
      <c r="F138" s="165"/>
      <c r="G138" s="165"/>
      <c r="H138" s="126"/>
      <c r="I138" s="126"/>
      <c r="J138" s="166"/>
    </row>
    <row r="139" ht="7.5" customHeight="1">
      <c r="A139" s="126"/>
      <c r="B139" s="242"/>
      <c r="C139" s="242"/>
      <c r="D139" s="242"/>
      <c r="E139" s="165"/>
      <c r="F139" s="165"/>
      <c r="G139" s="165"/>
      <c r="H139" s="126"/>
      <c r="I139" s="126"/>
      <c r="J139" s="166"/>
    </row>
    <row r="140" ht="7.5" customHeight="1">
      <c r="A140" s="126"/>
      <c r="B140" s="242"/>
      <c r="C140" s="242"/>
      <c r="D140" s="242"/>
      <c r="E140" s="165"/>
      <c r="F140" s="165"/>
      <c r="G140" s="165"/>
      <c r="H140" s="126"/>
      <c r="I140" s="126"/>
      <c r="J140" s="166"/>
    </row>
    <row r="141" ht="7.5" customHeight="1">
      <c r="A141" s="126"/>
      <c r="B141" s="242"/>
      <c r="C141" s="242"/>
      <c r="D141" s="242"/>
      <c r="E141" s="165"/>
      <c r="F141" s="165"/>
      <c r="G141" s="165"/>
      <c r="H141" s="126"/>
      <c r="I141" s="126"/>
      <c r="J141" s="166"/>
    </row>
    <row r="142" ht="7.5" customHeight="1">
      <c r="A142" s="126"/>
      <c r="B142" s="242"/>
      <c r="C142" s="242"/>
      <c r="D142" s="242"/>
      <c r="E142" s="165"/>
      <c r="F142" s="165"/>
      <c r="G142" s="165"/>
      <c r="H142" s="126"/>
      <c r="I142" s="126"/>
      <c r="J142" s="166"/>
    </row>
    <row r="143" ht="7.5" customHeight="1">
      <c r="A143" s="126"/>
      <c r="B143" s="242"/>
      <c r="C143" s="242"/>
      <c r="D143" s="242"/>
      <c r="E143" s="165"/>
      <c r="F143" s="165"/>
      <c r="G143" s="165"/>
      <c r="H143" s="126"/>
      <c r="I143" s="126"/>
      <c r="J143" s="166"/>
    </row>
    <row r="144" ht="7.5" customHeight="1">
      <c r="A144" s="126"/>
      <c r="B144" s="242"/>
      <c r="C144" s="242"/>
      <c r="D144" s="242"/>
      <c r="E144" s="165"/>
      <c r="F144" s="165"/>
      <c r="G144" s="165"/>
      <c r="H144" s="126"/>
      <c r="I144" s="126"/>
      <c r="J144" s="166"/>
    </row>
    <row r="145" ht="7.5" customHeight="1">
      <c r="A145" s="126"/>
      <c r="B145" s="242"/>
      <c r="C145" s="242"/>
      <c r="D145" s="242"/>
      <c r="E145" s="165"/>
      <c r="F145" s="165"/>
      <c r="G145" s="165"/>
      <c r="H145" s="126"/>
      <c r="I145" s="126"/>
      <c r="J145" s="166"/>
    </row>
    <row r="146" ht="7.5" customHeight="1">
      <c r="A146" s="126"/>
      <c r="B146" s="242"/>
      <c r="C146" s="242"/>
      <c r="D146" s="242"/>
      <c r="E146" s="165"/>
      <c r="F146" s="165"/>
      <c r="G146" s="165"/>
      <c r="H146" s="126"/>
      <c r="I146" s="126"/>
      <c r="J146" s="166"/>
    </row>
    <row r="147" ht="7.5" customHeight="1">
      <c r="A147" s="126"/>
      <c r="B147" s="242"/>
      <c r="C147" s="242"/>
      <c r="D147" s="242"/>
      <c r="E147" s="165"/>
      <c r="F147" s="165"/>
      <c r="G147" s="165"/>
      <c r="H147" s="126"/>
      <c r="I147" s="126"/>
      <c r="J147" s="166"/>
    </row>
    <row r="148" ht="7.5" customHeight="1">
      <c r="A148" s="126"/>
      <c r="B148" s="242"/>
      <c r="C148" s="242"/>
      <c r="D148" s="242"/>
      <c r="E148" s="165"/>
      <c r="F148" s="165"/>
      <c r="G148" s="165"/>
      <c r="H148" s="126"/>
      <c r="I148" s="126"/>
      <c r="J148" s="166"/>
    </row>
    <row r="149" ht="7.5" customHeight="1">
      <c r="A149" s="126"/>
      <c r="B149" s="242"/>
      <c r="C149" s="242"/>
      <c r="D149" s="242"/>
      <c r="E149" s="165"/>
      <c r="F149" s="165"/>
      <c r="G149" s="165"/>
      <c r="H149" s="126"/>
      <c r="I149" s="126"/>
      <c r="J149" s="166"/>
    </row>
    <row r="150" ht="7.5" customHeight="1">
      <c r="A150" s="126"/>
      <c r="B150" s="242"/>
      <c r="C150" s="242"/>
      <c r="D150" s="242"/>
      <c r="E150" s="165"/>
      <c r="F150" s="165"/>
      <c r="G150" s="165"/>
      <c r="H150" s="126"/>
      <c r="I150" s="126"/>
      <c r="J150" s="166"/>
    </row>
    <row r="151" ht="7.5" customHeight="1">
      <c r="A151" s="126"/>
      <c r="B151" s="242"/>
      <c r="C151" s="242"/>
      <c r="D151" s="242"/>
      <c r="E151" s="165"/>
      <c r="F151" s="165"/>
      <c r="G151" s="165"/>
      <c r="H151" s="126"/>
      <c r="I151" s="126"/>
      <c r="J151" s="166"/>
    </row>
    <row r="152" ht="7.5" customHeight="1">
      <c r="A152" s="126"/>
      <c r="B152" s="242"/>
      <c r="C152" s="242"/>
      <c r="D152" s="242"/>
      <c r="E152" s="165"/>
      <c r="F152" s="165"/>
      <c r="G152" s="165"/>
      <c r="H152" s="126"/>
      <c r="I152" s="126"/>
      <c r="J152" s="166"/>
    </row>
    <row r="153" ht="7.5" customHeight="1">
      <c r="A153" s="126"/>
      <c r="B153" s="242"/>
      <c r="C153" s="242"/>
      <c r="D153" s="242"/>
      <c r="E153" s="165"/>
      <c r="F153" s="165"/>
      <c r="G153" s="165"/>
      <c r="H153" s="126"/>
      <c r="I153" s="126"/>
      <c r="J153" s="166"/>
    </row>
    <row r="154" ht="7.5" customHeight="1">
      <c r="A154" s="126"/>
      <c r="B154" s="242"/>
      <c r="C154" s="242"/>
      <c r="D154" s="242"/>
      <c r="E154" s="165"/>
      <c r="F154" s="165"/>
      <c r="G154" s="165"/>
      <c r="H154" s="126"/>
      <c r="I154" s="126"/>
      <c r="J154" s="166"/>
    </row>
    <row r="155" ht="7.5" customHeight="1">
      <c r="A155" s="126"/>
      <c r="B155" s="242"/>
      <c r="C155" s="242"/>
      <c r="D155" s="242"/>
      <c r="E155" s="165"/>
      <c r="F155" s="165"/>
      <c r="G155" s="165"/>
      <c r="H155" s="126"/>
      <c r="I155" s="126"/>
      <c r="J155" s="166"/>
    </row>
    <row r="156" ht="7.5" customHeight="1">
      <c r="A156" s="126"/>
      <c r="B156" s="242"/>
      <c r="C156" s="242"/>
      <c r="D156" s="242"/>
      <c r="E156" s="165"/>
      <c r="F156" s="165"/>
      <c r="G156" s="165"/>
      <c r="H156" s="126"/>
      <c r="I156" s="126"/>
      <c r="J156" s="166"/>
    </row>
    <row r="157" ht="7.5" customHeight="1">
      <c r="A157" s="126"/>
      <c r="B157" s="242"/>
      <c r="C157" s="242"/>
      <c r="D157" s="242"/>
      <c r="E157" s="165"/>
      <c r="F157" s="165"/>
      <c r="G157" s="165"/>
      <c r="H157" s="126"/>
      <c r="I157" s="126"/>
      <c r="J157" s="166"/>
    </row>
    <row r="158" ht="7.5" customHeight="1">
      <c r="A158" s="126"/>
      <c r="B158" s="242"/>
      <c r="C158" s="242"/>
      <c r="D158" s="242"/>
      <c r="E158" s="165"/>
      <c r="F158" s="165"/>
      <c r="G158" s="165"/>
      <c r="H158" s="126"/>
      <c r="I158" s="126"/>
      <c r="J158" s="166"/>
    </row>
    <row r="159" ht="7.5" customHeight="1">
      <c r="A159" s="126"/>
      <c r="B159" s="242"/>
      <c r="C159" s="242"/>
      <c r="D159" s="242"/>
      <c r="E159" s="165"/>
      <c r="F159" s="165"/>
      <c r="G159" s="165"/>
      <c r="H159" s="126"/>
      <c r="I159" s="126"/>
      <c r="J159" s="166"/>
    </row>
    <row r="160" ht="7.5" customHeight="1">
      <c r="A160" s="126"/>
      <c r="B160" s="242"/>
      <c r="C160" s="242"/>
      <c r="D160" s="242"/>
      <c r="E160" s="165"/>
      <c r="F160" s="165"/>
      <c r="G160" s="165"/>
      <c r="H160" s="126"/>
      <c r="I160" s="126"/>
      <c r="J160" s="166"/>
    </row>
    <row r="161" ht="7.5" customHeight="1">
      <c r="A161" s="126"/>
      <c r="B161" s="242"/>
      <c r="C161" s="242"/>
      <c r="D161" s="242"/>
      <c r="E161" s="165"/>
      <c r="F161" s="165"/>
      <c r="G161" s="165"/>
      <c r="H161" s="126"/>
      <c r="I161" s="126"/>
      <c r="J161" s="166"/>
    </row>
    <row r="162" ht="7.5" customHeight="1">
      <c r="A162" s="126"/>
      <c r="B162" s="242"/>
      <c r="C162" s="242"/>
      <c r="D162" s="242"/>
      <c r="E162" s="165"/>
      <c r="F162" s="165"/>
      <c r="G162" s="165"/>
      <c r="H162" s="126"/>
      <c r="I162" s="126"/>
      <c r="J162" s="166"/>
    </row>
    <row r="163" ht="7.5" customHeight="1">
      <c r="A163" s="126"/>
      <c r="B163" s="242"/>
      <c r="C163" s="242"/>
      <c r="D163" s="242"/>
      <c r="E163" s="165"/>
      <c r="F163" s="165"/>
      <c r="G163" s="165"/>
      <c r="H163" s="126"/>
      <c r="I163" s="126"/>
      <c r="J163" s="166"/>
    </row>
    <row r="164" ht="7.5" customHeight="1">
      <c r="A164" s="126"/>
      <c r="B164" s="242"/>
      <c r="C164" s="242"/>
      <c r="D164" s="242"/>
      <c r="E164" s="165"/>
      <c r="F164" s="165"/>
      <c r="G164" s="165"/>
      <c r="H164" s="126"/>
      <c r="I164" s="126"/>
      <c r="J164" s="166"/>
    </row>
    <row r="165" ht="7.5" customHeight="1">
      <c r="A165" s="126"/>
      <c r="B165" s="242"/>
      <c r="C165" s="242"/>
      <c r="D165" s="242"/>
      <c r="E165" s="165"/>
      <c r="F165" s="165"/>
      <c r="G165" s="165"/>
      <c r="H165" s="126"/>
      <c r="I165" s="126"/>
      <c r="J165" s="166"/>
    </row>
    <row r="166" ht="7.5" customHeight="1">
      <c r="A166" s="126"/>
      <c r="B166" s="242"/>
      <c r="C166" s="242"/>
      <c r="D166" s="242"/>
      <c r="E166" s="165"/>
      <c r="F166" s="165"/>
      <c r="G166" s="165"/>
      <c r="H166" s="126"/>
      <c r="I166" s="126"/>
      <c r="J166" s="166"/>
    </row>
    <row r="167" ht="7.5" customHeight="1">
      <c r="A167" s="126"/>
      <c r="B167" s="242"/>
      <c r="C167" s="242"/>
      <c r="D167" s="242"/>
      <c r="E167" s="165"/>
      <c r="F167" s="165"/>
      <c r="G167" s="165"/>
      <c r="H167" s="126"/>
      <c r="I167" s="126"/>
      <c r="J167" s="166"/>
    </row>
    <row r="168" ht="7.5" customHeight="1">
      <c r="A168" s="126"/>
      <c r="B168" s="242"/>
      <c r="C168" s="242"/>
      <c r="D168" s="242"/>
      <c r="E168" s="165"/>
      <c r="F168" s="165"/>
      <c r="G168" s="165"/>
      <c r="H168" s="126"/>
      <c r="I168" s="126"/>
      <c r="J168" s="166"/>
    </row>
    <row r="169" ht="7.5" customHeight="1">
      <c r="A169" s="126"/>
      <c r="B169" s="242"/>
      <c r="C169" s="242"/>
      <c r="D169" s="242"/>
      <c r="E169" s="165"/>
      <c r="F169" s="165"/>
      <c r="G169" s="165"/>
      <c r="H169" s="126"/>
      <c r="I169" s="126"/>
      <c r="J169" s="166"/>
    </row>
    <row r="170" ht="7.5" customHeight="1">
      <c r="A170" s="126"/>
      <c r="B170" s="242"/>
      <c r="C170" s="242"/>
      <c r="D170" s="242"/>
      <c r="E170" s="165"/>
      <c r="F170" s="165"/>
      <c r="G170" s="165"/>
      <c r="H170" s="126"/>
      <c r="I170" s="126"/>
      <c r="J170" s="166"/>
    </row>
    <row r="171" ht="7.5" customHeight="1">
      <c r="A171" s="126"/>
      <c r="B171" s="242"/>
      <c r="C171" s="242"/>
      <c r="D171" s="242"/>
      <c r="E171" s="165"/>
      <c r="F171" s="165"/>
      <c r="G171" s="165"/>
      <c r="H171" s="126"/>
      <c r="I171" s="126"/>
      <c r="J171" s="166"/>
    </row>
    <row r="172" ht="7.5" customHeight="1">
      <c r="A172" s="126"/>
      <c r="B172" s="242"/>
      <c r="C172" s="242"/>
      <c r="D172" s="242"/>
      <c r="E172" s="165"/>
      <c r="F172" s="165"/>
      <c r="G172" s="165"/>
      <c r="H172" s="126"/>
      <c r="I172" s="126"/>
      <c r="J172" s="166"/>
    </row>
    <row r="173" ht="7.5" customHeight="1">
      <c r="A173" s="126"/>
      <c r="B173" s="242"/>
      <c r="C173" s="242"/>
      <c r="D173" s="242"/>
      <c r="E173" s="165"/>
      <c r="F173" s="165"/>
      <c r="G173" s="165"/>
      <c r="H173" s="126"/>
      <c r="I173" s="126"/>
      <c r="J173" s="166"/>
    </row>
    <row r="174" ht="7.5" customHeight="1">
      <c r="A174" s="126"/>
      <c r="B174" s="242"/>
      <c r="C174" s="242"/>
      <c r="D174" s="242"/>
      <c r="E174" s="165"/>
      <c r="F174" s="165"/>
      <c r="G174" s="165"/>
      <c r="H174" s="126"/>
      <c r="I174" s="126"/>
      <c r="J174" s="166"/>
    </row>
    <row r="175" ht="7.5" customHeight="1">
      <c r="A175" s="126"/>
      <c r="B175" s="242"/>
      <c r="C175" s="242"/>
      <c r="D175" s="242"/>
      <c r="E175" s="165"/>
      <c r="F175" s="165"/>
      <c r="G175" s="165"/>
      <c r="H175" s="126"/>
      <c r="I175" s="126"/>
      <c r="J175" s="166"/>
    </row>
    <row r="176" ht="7.5" customHeight="1">
      <c r="A176" s="126"/>
      <c r="B176" s="242"/>
      <c r="C176" s="242"/>
      <c r="D176" s="242"/>
      <c r="E176" s="165"/>
      <c r="F176" s="165"/>
      <c r="G176" s="165"/>
      <c r="H176" s="126"/>
      <c r="I176" s="126"/>
      <c r="J176" s="166"/>
    </row>
    <row r="177" ht="7.5" customHeight="1">
      <c r="A177" s="126"/>
      <c r="B177" s="242"/>
      <c r="C177" s="242"/>
      <c r="D177" s="242"/>
      <c r="E177" s="165"/>
      <c r="F177" s="165"/>
      <c r="G177" s="165"/>
      <c r="H177" s="126"/>
      <c r="I177" s="126"/>
      <c r="J177" s="166"/>
    </row>
    <row r="178" ht="7.5" customHeight="1">
      <c r="A178" s="126"/>
      <c r="B178" s="242"/>
      <c r="C178" s="242"/>
      <c r="D178" s="242"/>
      <c r="E178" s="165"/>
      <c r="F178" s="165"/>
      <c r="G178" s="165"/>
      <c r="H178" s="126"/>
      <c r="I178" s="126"/>
      <c r="J178" s="166"/>
    </row>
    <row r="179" ht="7.5" customHeight="1">
      <c r="A179" s="126"/>
      <c r="B179" s="242"/>
      <c r="C179" s="242"/>
      <c r="D179" s="242"/>
      <c r="E179" s="165"/>
      <c r="F179" s="165"/>
      <c r="G179" s="165"/>
      <c r="H179" s="126"/>
      <c r="I179" s="126"/>
      <c r="J179" s="166"/>
    </row>
    <row r="180" ht="7.5" customHeight="1">
      <c r="A180" s="126"/>
      <c r="B180" s="242"/>
      <c r="C180" s="242"/>
      <c r="D180" s="242"/>
      <c r="E180" s="165"/>
      <c r="F180" s="165"/>
      <c r="G180" s="165"/>
      <c r="H180" s="126"/>
      <c r="I180" s="126"/>
      <c r="J180" s="166"/>
    </row>
    <row r="181" ht="7.5" customHeight="1">
      <c r="A181" s="126"/>
      <c r="B181" s="242"/>
      <c r="C181" s="242"/>
      <c r="D181" s="242"/>
      <c r="E181" s="165"/>
      <c r="F181" s="165"/>
      <c r="G181" s="165"/>
      <c r="H181" s="126"/>
      <c r="I181" s="126"/>
      <c r="J181" s="166"/>
    </row>
    <row r="182" ht="7.5" customHeight="1">
      <c r="A182" s="126"/>
      <c r="B182" s="242"/>
      <c r="C182" s="242"/>
      <c r="D182" s="242"/>
      <c r="E182" s="165"/>
      <c r="F182" s="165"/>
      <c r="G182" s="165"/>
      <c r="H182" s="126"/>
      <c r="I182" s="126"/>
      <c r="J182" s="166"/>
    </row>
    <row r="183" ht="7.5" customHeight="1">
      <c r="A183" s="126"/>
      <c r="B183" s="242"/>
      <c r="C183" s="242"/>
      <c r="D183" s="242"/>
      <c r="E183" s="165"/>
      <c r="F183" s="165"/>
      <c r="G183" s="165"/>
      <c r="H183" s="126"/>
      <c r="I183" s="126"/>
      <c r="J183" s="166"/>
    </row>
    <row r="184" ht="7.5" customHeight="1">
      <c r="A184" s="126"/>
      <c r="B184" s="242"/>
      <c r="C184" s="242"/>
      <c r="D184" s="242"/>
      <c r="E184" s="165"/>
      <c r="F184" s="165"/>
      <c r="G184" s="165"/>
      <c r="H184" s="126"/>
      <c r="I184" s="126"/>
      <c r="J184" s="166"/>
    </row>
    <row r="185" ht="7.5" customHeight="1">
      <c r="A185" s="126"/>
      <c r="B185" s="242"/>
      <c r="C185" s="242"/>
      <c r="D185" s="242"/>
      <c r="E185" s="165"/>
      <c r="F185" s="165"/>
      <c r="G185" s="165"/>
      <c r="H185" s="126"/>
      <c r="I185" s="126"/>
      <c r="J185" s="166"/>
    </row>
    <row r="186" ht="7.5" customHeight="1">
      <c r="A186" s="126"/>
      <c r="B186" s="242"/>
      <c r="C186" s="242"/>
      <c r="D186" s="242"/>
      <c r="E186" s="165"/>
      <c r="F186" s="165"/>
      <c r="G186" s="165"/>
      <c r="H186" s="126"/>
      <c r="I186" s="126"/>
      <c r="J186" s="166"/>
    </row>
    <row r="187" ht="7.5" customHeight="1">
      <c r="A187" s="126"/>
      <c r="B187" s="242"/>
      <c r="C187" s="242"/>
      <c r="D187" s="242"/>
      <c r="E187" s="165"/>
      <c r="F187" s="165"/>
      <c r="G187" s="165"/>
      <c r="H187" s="126"/>
      <c r="I187" s="126"/>
      <c r="J187" s="166"/>
    </row>
    <row r="188" ht="7.5" customHeight="1">
      <c r="A188" s="126"/>
      <c r="B188" s="242"/>
      <c r="C188" s="242"/>
      <c r="D188" s="242"/>
      <c r="E188" s="165"/>
      <c r="F188" s="165"/>
      <c r="G188" s="165"/>
      <c r="H188" s="126"/>
      <c r="I188" s="126"/>
      <c r="J188" s="166"/>
    </row>
    <row r="189" ht="7.5" customHeight="1">
      <c r="A189" s="126"/>
      <c r="B189" s="242"/>
      <c r="C189" s="242"/>
      <c r="D189" s="242"/>
      <c r="E189" s="165"/>
      <c r="F189" s="165"/>
      <c r="G189" s="165"/>
      <c r="H189" s="126"/>
      <c r="I189" s="126"/>
      <c r="J189" s="166"/>
    </row>
    <row r="190" ht="7.5" customHeight="1">
      <c r="A190" s="126"/>
      <c r="B190" s="242"/>
      <c r="C190" s="242"/>
      <c r="D190" s="242"/>
      <c r="E190" s="165"/>
      <c r="F190" s="165"/>
      <c r="G190" s="165"/>
      <c r="H190" s="126"/>
      <c r="I190" s="126"/>
      <c r="J190" s="166"/>
    </row>
    <row r="191" ht="7.5" customHeight="1">
      <c r="A191" s="126"/>
      <c r="B191" s="242"/>
      <c r="C191" s="242"/>
      <c r="D191" s="242"/>
      <c r="E191" s="165"/>
      <c r="F191" s="165"/>
      <c r="G191" s="165"/>
      <c r="H191" s="126"/>
      <c r="I191" s="126"/>
      <c r="J191" s="166"/>
    </row>
    <row r="192" ht="7.5" customHeight="1">
      <c r="A192" s="126"/>
      <c r="B192" s="242"/>
      <c r="C192" s="242"/>
      <c r="D192" s="242"/>
      <c r="E192" s="165"/>
      <c r="F192" s="165"/>
      <c r="G192" s="165"/>
      <c r="H192" s="126"/>
      <c r="I192" s="126"/>
      <c r="J192" s="166"/>
    </row>
    <row r="193" ht="7.5" customHeight="1">
      <c r="A193" s="126"/>
      <c r="B193" s="242"/>
      <c r="C193" s="242"/>
      <c r="D193" s="242"/>
      <c r="E193" s="165"/>
      <c r="F193" s="165"/>
      <c r="G193" s="165"/>
      <c r="H193" s="126"/>
      <c r="I193" s="126"/>
      <c r="J193" s="166"/>
    </row>
    <row r="194" ht="7.5" customHeight="1">
      <c r="A194" s="126"/>
      <c r="B194" s="242"/>
      <c r="C194" s="242"/>
      <c r="D194" s="242"/>
      <c r="E194" s="165"/>
      <c r="F194" s="165"/>
      <c r="G194" s="165"/>
      <c r="H194" s="126"/>
      <c r="I194" s="126"/>
      <c r="J194" s="166"/>
    </row>
    <row r="195" ht="7.5" customHeight="1">
      <c r="A195" s="126"/>
      <c r="B195" s="242"/>
      <c r="C195" s="242"/>
      <c r="D195" s="242"/>
      <c r="E195" s="165"/>
      <c r="F195" s="165"/>
      <c r="G195" s="165"/>
      <c r="H195" s="126"/>
      <c r="I195" s="126"/>
      <c r="J195" s="166"/>
    </row>
    <row r="196" ht="7.5" customHeight="1">
      <c r="A196" s="126"/>
      <c r="B196" s="242"/>
      <c r="C196" s="242"/>
      <c r="D196" s="242"/>
      <c r="E196" s="165"/>
      <c r="F196" s="165"/>
      <c r="G196" s="165"/>
      <c r="H196" s="126"/>
      <c r="I196" s="126"/>
      <c r="J196" s="166"/>
    </row>
    <row r="197" ht="7.5" customHeight="1">
      <c r="A197" s="126"/>
      <c r="B197" s="242"/>
      <c r="C197" s="242"/>
      <c r="D197" s="242"/>
      <c r="E197" s="165"/>
      <c r="F197" s="165"/>
      <c r="G197" s="165"/>
      <c r="H197" s="126"/>
      <c r="I197" s="126"/>
      <c r="J197" s="166"/>
    </row>
    <row r="198" ht="7.5" customHeight="1">
      <c r="A198" s="126"/>
      <c r="B198" s="242"/>
      <c r="C198" s="242"/>
      <c r="D198" s="242"/>
      <c r="E198" s="165"/>
      <c r="F198" s="165"/>
      <c r="G198" s="165"/>
      <c r="H198" s="126"/>
      <c r="I198" s="126"/>
      <c r="J198" s="166"/>
    </row>
    <row r="199" ht="7.5" customHeight="1">
      <c r="A199" s="126"/>
      <c r="B199" s="242"/>
      <c r="C199" s="242"/>
      <c r="D199" s="242"/>
      <c r="E199" s="165"/>
      <c r="F199" s="165"/>
      <c r="G199" s="165"/>
      <c r="H199" s="126"/>
      <c r="I199" s="126"/>
      <c r="J199" s="166"/>
    </row>
    <row r="200" ht="7.5" customHeight="1">
      <c r="A200" s="126"/>
      <c r="B200" s="242"/>
      <c r="C200" s="242"/>
      <c r="D200" s="242"/>
      <c r="E200" s="165"/>
      <c r="F200" s="165"/>
      <c r="G200" s="165"/>
      <c r="H200" s="126"/>
      <c r="I200" s="126"/>
      <c r="J200" s="166"/>
    </row>
    <row r="201" ht="7.5" customHeight="1">
      <c r="A201" s="126"/>
      <c r="B201" s="242"/>
      <c r="C201" s="242"/>
      <c r="D201" s="242"/>
      <c r="E201" s="165"/>
      <c r="F201" s="165"/>
      <c r="G201" s="165"/>
      <c r="H201" s="126"/>
      <c r="I201" s="126"/>
      <c r="J201" s="166"/>
    </row>
    <row r="202" ht="7.5" customHeight="1">
      <c r="A202" s="126"/>
      <c r="B202" s="242"/>
      <c r="C202" s="242"/>
      <c r="D202" s="242"/>
      <c r="E202" s="165"/>
      <c r="F202" s="165"/>
      <c r="G202" s="165"/>
      <c r="H202" s="126"/>
      <c r="I202" s="126"/>
      <c r="J202" s="166"/>
    </row>
    <row r="203" ht="7.5" customHeight="1">
      <c r="A203" s="126"/>
      <c r="B203" s="242"/>
      <c r="C203" s="242"/>
      <c r="D203" s="242"/>
      <c r="E203" s="165"/>
      <c r="F203" s="165"/>
      <c r="G203" s="165"/>
      <c r="H203" s="126"/>
      <c r="I203" s="126"/>
      <c r="J203" s="166"/>
    </row>
    <row r="204" ht="7.5" customHeight="1">
      <c r="A204" s="126"/>
      <c r="B204" s="242"/>
      <c r="C204" s="242"/>
      <c r="D204" s="242"/>
      <c r="E204" s="165"/>
      <c r="F204" s="165"/>
      <c r="G204" s="165"/>
      <c r="H204" s="126"/>
      <c r="I204" s="126"/>
      <c r="J204" s="166"/>
    </row>
    <row r="205" ht="7.5" customHeight="1">
      <c r="A205" s="126"/>
      <c r="B205" s="242"/>
      <c r="C205" s="242"/>
      <c r="D205" s="242"/>
      <c r="E205" s="165"/>
      <c r="F205" s="165"/>
      <c r="G205" s="165"/>
      <c r="H205" s="126"/>
      <c r="I205" s="126"/>
      <c r="J205" s="166"/>
    </row>
    <row r="206" ht="7.5" customHeight="1">
      <c r="A206" s="126"/>
      <c r="B206" s="242"/>
      <c r="C206" s="242"/>
      <c r="D206" s="242"/>
      <c r="E206" s="165"/>
      <c r="F206" s="165"/>
      <c r="G206" s="165"/>
      <c r="H206" s="126"/>
      <c r="I206" s="126"/>
      <c r="J206" s="166"/>
    </row>
    <row r="207" ht="7.5" customHeight="1">
      <c r="A207" s="126"/>
      <c r="B207" s="242"/>
      <c r="C207" s="242"/>
      <c r="D207" s="242"/>
      <c r="E207" s="165"/>
      <c r="F207" s="165"/>
      <c r="G207" s="165"/>
      <c r="H207" s="126"/>
      <c r="I207" s="126"/>
      <c r="J207" s="166"/>
    </row>
    <row r="208" ht="7.5" customHeight="1">
      <c r="A208" s="126"/>
      <c r="B208" s="242"/>
      <c r="C208" s="242"/>
      <c r="D208" s="242"/>
      <c r="E208" s="165"/>
      <c r="F208" s="165"/>
      <c r="G208" s="165"/>
      <c r="H208" s="126"/>
      <c r="I208" s="126"/>
      <c r="J208" s="166"/>
    </row>
    <row r="209" ht="7.5" customHeight="1">
      <c r="A209" s="126"/>
      <c r="B209" s="242"/>
      <c r="C209" s="242"/>
      <c r="D209" s="242"/>
      <c r="E209" s="165"/>
      <c r="F209" s="165"/>
      <c r="G209" s="165"/>
      <c r="H209" s="126"/>
      <c r="I209" s="126"/>
      <c r="J209" s="166"/>
    </row>
    <row r="210" ht="7.5" customHeight="1">
      <c r="A210" s="126"/>
      <c r="B210" s="242"/>
      <c r="C210" s="242"/>
      <c r="D210" s="242"/>
      <c r="E210" s="165"/>
      <c r="F210" s="165"/>
      <c r="G210" s="165"/>
      <c r="H210" s="126"/>
      <c r="I210" s="126"/>
      <c r="J210" s="166"/>
    </row>
    <row r="211" ht="7.5" customHeight="1">
      <c r="A211" s="126"/>
      <c r="B211" s="242"/>
      <c r="C211" s="242"/>
      <c r="D211" s="242"/>
      <c r="E211" s="165"/>
      <c r="F211" s="165"/>
      <c r="G211" s="165"/>
      <c r="H211" s="126"/>
      <c r="I211" s="126"/>
      <c r="J211" s="166"/>
    </row>
    <row r="212" ht="7.5" customHeight="1">
      <c r="A212" s="126"/>
      <c r="B212" s="242"/>
      <c r="C212" s="242"/>
      <c r="D212" s="242"/>
      <c r="E212" s="165"/>
      <c r="F212" s="165"/>
      <c r="G212" s="165"/>
      <c r="H212" s="126"/>
      <c r="I212" s="126"/>
      <c r="J212" s="166"/>
    </row>
    <row r="213" ht="7.5" customHeight="1">
      <c r="A213" s="126"/>
      <c r="B213" s="242"/>
      <c r="C213" s="242"/>
      <c r="D213" s="242"/>
      <c r="E213" s="165"/>
      <c r="F213" s="165"/>
      <c r="G213" s="165"/>
      <c r="H213" s="126"/>
      <c r="I213" s="126"/>
      <c r="J213" s="166"/>
    </row>
    <row r="214" ht="7.5" customHeight="1">
      <c r="A214" s="126"/>
      <c r="B214" s="242"/>
      <c r="C214" s="242"/>
      <c r="D214" s="242"/>
      <c r="E214" s="165"/>
      <c r="F214" s="165"/>
      <c r="G214" s="165"/>
      <c r="H214" s="126"/>
      <c r="I214" s="126"/>
      <c r="J214" s="166"/>
    </row>
    <row r="215" ht="7.5" customHeight="1">
      <c r="A215" s="126"/>
      <c r="B215" s="242"/>
      <c r="C215" s="242"/>
      <c r="D215" s="242"/>
      <c r="E215" s="165"/>
      <c r="F215" s="165"/>
      <c r="G215" s="165"/>
      <c r="H215" s="126"/>
      <c r="I215" s="126"/>
      <c r="J215" s="166"/>
    </row>
    <row r="216" ht="7.5" customHeight="1">
      <c r="A216" s="126"/>
      <c r="B216" s="242"/>
      <c r="C216" s="242"/>
      <c r="D216" s="242"/>
      <c r="E216" s="165"/>
      <c r="F216" s="165"/>
      <c r="G216" s="165"/>
      <c r="H216" s="126"/>
      <c r="I216" s="126"/>
      <c r="J216" s="166"/>
    </row>
    <row r="217" ht="7.5" customHeight="1">
      <c r="A217" s="126"/>
      <c r="B217" s="242"/>
      <c r="C217" s="242"/>
      <c r="D217" s="242"/>
      <c r="E217" s="165"/>
      <c r="F217" s="165"/>
      <c r="G217" s="165"/>
      <c r="H217" s="126"/>
      <c r="I217" s="126"/>
      <c r="J217" s="166"/>
    </row>
    <row r="218" ht="7.5" customHeight="1">
      <c r="A218" s="126"/>
      <c r="B218" s="242"/>
      <c r="C218" s="242"/>
      <c r="D218" s="242"/>
      <c r="E218" s="165"/>
      <c r="F218" s="165"/>
      <c r="G218" s="165"/>
      <c r="H218" s="126"/>
      <c r="I218" s="126"/>
      <c r="J218" s="166"/>
    </row>
    <row r="219" ht="7.5" customHeight="1">
      <c r="A219" s="126"/>
      <c r="B219" s="242"/>
      <c r="C219" s="242"/>
      <c r="D219" s="242"/>
      <c r="E219" s="165"/>
      <c r="F219" s="165"/>
      <c r="G219" s="165"/>
      <c r="H219" s="126"/>
      <c r="I219" s="126"/>
      <c r="J219" s="166"/>
    </row>
    <row r="220" ht="7.5" customHeight="1">
      <c r="A220" s="126"/>
      <c r="B220" s="242"/>
      <c r="C220" s="242"/>
      <c r="D220" s="242"/>
      <c r="E220" s="165"/>
      <c r="F220" s="165"/>
      <c r="G220" s="165"/>
      <c r="H220" s="126"/>
      <c r="I220" s="126"/>
      <c r="J220" s="166"/>
    </row>
    <row r="221" ht="7.5" customHeight="1">
      <c r="A221" s="126"/>
      <c r="B221" s="242"/>
      <c r="C221" s="242"/>
      <c r="D221" s="242"/>
      <c r="E221" s="165"/>
      <c r="F221" s="165"/>
      <c r="G221" s="165"/>
      <c r="H221" s="126"/>
      <c r="I221" s="126"/>
      <c r="J221" s="166"/>
    </row>
    <row r="222" ht="7.5" customHeight="1">
      <c r="A222" s="126"/>
      <c r="B222" s="242"/>
      <c r="C222" s="242"/>
      <c r="D222" s="242"/>
      <c r="E222" s="165"/>
      <c r="F222" s="165"/>
      <c r="G222" s="165"/>
      <c r="H222" s="126"/>
      <c r="I222" s="126"/>
      <c r="J222" s="166"/>
    </row>
    <row r="223" ht="7.5" customHeight="1">
      <c r="A223" s="126"/>
      <c r="B223" s="242"/>
      <c r="C223" s="242"/>
      <c r="D223" s="242"/>
      <c r="E223" s="165"/>
      <c r="F223" s="165"/>
      <c r="G223" s="165"/>
      <c r="H223" s="126"/>
      <c r="I223" s="126"/>
      <c r="J223" s="166"/>
    </row>
    <row r="224" ht="7.5" customHeight="1">
      <c r="A224" s="126"/>
      <c r="B224" s="242"/>
      <c r="C224" s="242"/>
      <c r="D224" s="242"/>
      <c r="E224" s="165"/>
      <c r="F224" s="165"/>
      <c r="G224" s="165"/>
      <c r="H224" s="126"/>
      <c r="I224" s="126"/>
      <c r="J224" s="166"/>
    </row>
    <row r="225" ht="7.5" customHeight="1">
      <c r="A225" s="126"/>
      <c r="B225" s="242"/>
      <c r="C225" s="242"/>
      <c r="D225" s="242"/>
      <c r="E225" s="165"/>
      <c r="F225" s="165"/>
      <c r="G225" s="165"/>
      <c r="H225" s="126"/>
      <c r="I225" s="126"/>
      <c r="J225" s="166"/>
    </row>
    <row r="226" ht="7.5" customHeight="1">
      <c r="A226" s="126"/>
      <c r="B226" s="242"/>
      <c r="C226" s="242"/>
      <c r="D226" s="242"/>
      <c r="E226" s="165"/>
      <c r="F226" s="165"/>
      <c r="G226" s="165"/>
      <c r="H226" s="126"/>
      <c r="I226" s="126"/>
      <c r="J226" s="166"/>
    </row>
    <row r="227" ht="7.5" customHeight="1">
      <c r="A227" s="126"/>
      <c r="B227" s="242"/>
      <c r="C227" s="242"/>
      <c r="D227" s="242"/>
      <c r="E227" s="165"/>
      <c r="F227" s="165"/>
      <c r="G227" s="165"/>
      <c r="H227" s="126"/>
      <c r="I227" s="126"/>
      <c r="J227" s="166"/>
    </row>
    <row r="228" ht="7.5" customHeight="1">
      <c r="A228" s="126"/>
      <c r="B228" s="242"/>
      <c r="C228" s="242"/>
      <c r="D228" s="242"/>
      <c r="E228" s="165"/>
      <c r="F228" s="165"/>
      <c r="G228" s="165"/>
      <c r="H228" s="126"/>
      <c r="I228" s="126"/>
      <c r="J228" s="166"/>
    </row>
    <row r="229" ht="7.5" customHeight="1">
      <c r="A229" s="126"/>
      <c r="B229" s="242"/>
      <c r="C229" s="242"/>
      <c r="D229" s="242"/>
      <c r="E229" s="165"/>
      <c r="F229" s="165"/>
      <c r="G229" s="165"/>
      <c r="H229" s="126"/>
      <c r="I229" s="126"/>
      <c r="J229" s="166"/>
    </row>
    <row r="230" ht="7.5" customHeight="1">
      <c r="A230" s="126"/>
      <c r="B230" s="242"/>
      <c r="C230" s="242"/>
      <c r="D230" s="242"/>
      <c r="E230" s="165"/>
      <c r="F230" s="165"/>
      <c r="G230" s="165"/>
      <c r="H230" s="126"/>
      <c r="I230" s="126"/>
      <c r="J230" s="166"/>
    </row>
    <row r="231" ht="7.5" customHeight="1">
      <c r="A231" s="126"/>
      <c r="B231" s="242"/>
      <c r="C231" s="242"/>
      <c r="D231" s="242"/>
      <c r="E231" s="165"/>
      <c r="F231" s="165"/>
      <c r="G231" s="165"/>
      <c r="H231" s="126"/>
      <c r="I231" s="126"/>
      <c r="J231" s="166"/>
    </row>
    <row r="232" ht="7.5" customHeight="1">
      <c r="A232" s="126"/>
      <c r="B232" s="242"/>
      <c r="C232" s="242"/>
      <c r="D232" s="242"/>
      <c r="E232" s="165"/>
      <c r="F232" s="165"/>
      <c r="G232" s="165"/>
      <c r="H232" s="126"/>
      <c r="I232" s="126"/>
      <c r="J232" s="166"/>
    </row>
    <row r="233" ht="7.5" customHeight="1">
      <c r="A233" s="126"/>
      <c r="B233" s="242"/>
      <c r="C233" s="242"/>
      <c r="D233" s="242"/>
      <c r="E233" s="165"/>
      <c r="F233" s="165"/>
      <c r="G233" s="165"/>
      <c r="H233" s="126"/>
      <c r="I233" s="126"/>
      <c r="J233" s="166"/>
    </row>
    <row r="234" ht="7.5" customHeight="1">
      <c r="A234" s="126"/>
      <c r="B234" s="242"/>
      <c r="C234" s="242"/>
      <c r="D234" s="242"/>
      <c r="E234" s="165"/>
      <c r="F234" s="165"/>
      <c r="G234" s="165"/>
      <c r="H234" s="126"/>
      <c r="I234" s="126"/>
      <c r="J234" s="166"/>
    </row>
    <row r="235" ht="7.5" customHeight="1">
      <c r="A235" s="126"/>
      <c r="B235" s="242"/>
      <c r="C235" s="242"/>
      <c r="D235" s="242"/>
      <c r="E235" s="165"/>
      <c r="F235" s="165"/>
      <c r="G235" s="165"/>
      <c r="H235" s="126"/>
      <c r="I235" s="126"/>
      <c r="J235" s="166"/>
    </row>
    <row r="236" ht="7.5" customHeight="1">
      <c r="A236" s="126"/>
      <c r="B236" s="242"/>
      <c r="C236" s="242"/>
      <c r="D236" s="242"/>
      <c r="E236" s="165"/>
      <c r="F236" s="165"/>
      <c r="G236" s="165"/>
      <c r="H236" s="126"/>
      <c r="I236" s="126"/>
      <c r="J236" s="166"/>
    </row>
    <row r="237" ht="7.5" customHeight="1">
      <c r="A237" s="126"/>
      <c r="B237" s="242"/>
      <c r="C237" s="242"/>
      <c r="D237" s="242"/>
      <c r="E237" s="165"/>
      <c r="F237" s="165"/>
      <c r="G237" s="165"/>
      <c r="H237" s="126"/>
      <c r="I237" s="126"/>
      <c r="J237" s="166"/>
    </row>
    <row r="238" ht="7.5" customHeight="1">
      <c r="A238" s="126"/>
      <c r="B238" s="242"/>
      <c r="C238" s="242"/>
      <c r="D238" s="242"/>
      <c r="E238" s="165"/>
      <c r="F238" s="165"/>
      <c r="G238" s="165"/>
      <c r="H238" s="126"/>
      <c r="I238" s="126"/>
      <c r="J238" s="166"/>
    </row>
    <row r="239" ht="7.5" customHeight="1">
      <c r="A239" s="126"/>
      <c r="B239" s="242"/>
      <c r="C239" s="242"/>
      <c r="D239" s="242"/>
      <c r="E239" s="165"/>
      <c r="F239" s="165"/>
      <c r="G239" s="165"/>
      <c r="H239" s="126"/>
      <c r="I239" s="126"/>
      <c r="J239" s="166"/>
    </row>
    <row r="240" ht="7.5" customHeight="1">
      <c r="A240" s="126"/>
      <c r="B240" s="242"/>
      <c r="C240" s="242"/>
      <c r="D240" s="242"/>
      <c r="E240" s="165"/>
      <c r="F240" s="165"/>
      <c r="G240" s="165"/>
      <c r="H240" s="126"/>
      <c r="I240" s="126"/>
      <c r="J240" s="166"/>
    </row>
    <row r="241" ht="7.5" customHeight="1">
      <c r="A241" s="126"/>
      <c r="B241" s="242"/>
      <c r="C241" s="242"/>
      <c r="D241" s="242"/>
      <c r="E241" s="165"/>
      <c r="F241" s="165"/>
      <c r="G241" s="165"/>
      <c r="H241" s="126"/>
      <c r="I241" s="126"/>
      <c r="J241" s="166"/>
    </row>
    <row r="242" ht="7.5" customHeight="1">
      <c r="A242" s="126"/>
      <c r="B242" s="242"/>
      <c r="C242" s="242"/>
      <c r="D242" s="242"/>
      <c r="E242" s="165"/>
      <c r="F242" s="165"/>
      <c r="G242" s="165"/>
      <c r="H242" s="126"/>
      <c r="I242" s="126"/>
      <c r="J242" s="166"/>
    </row>
    <row r="243" ht="7.5" customHeight="1">
      <c r="A243" s="126"/>
      <c r="B243" s="242"/>
      <c r="C243" s="242"/>
      <c r="D243" s="242"/>
      <c r="E243" s="165"/>
      <c r="F243" s="165"/>
      <c r="G243" s="165"/>
      <c r="H243" s="126"/>
      <c r="I243" s="126"/>
      <c r="J243" s="166"/>
    </row>
    <row r="244" ht="7.5" customHeight="1">
      <c r="A244" s="126"/>
      <c r="B244" s="242"/>
      <c r="C244" s="242"/>
      <c r="D244" s="242"/>
      <c r="E244" s="165"/>
      <c r="F244" s="165"/>
      <c r="G244" s="165"/>
      <c r="H244" s="126"/>
      <c r="I244" s="126"/>
      <c r="J244" s="166"/>
    </row>
    <row r="245" ht="7.5" customHeight="1">
      <c r="A245" s="126"/>
      <c r="B245" s="242"/>
      <c r="C245" s="242"/>
      <c r="D245" s="242"/>
      <c r="E245" s="165"/>
      <c r="F245" s="165"/>
      <c r="G245" s="165"/>
      <c r="H245" s="126"/>
      <c r="I245" s="126"/>
      <c r="J245" s="166"/>
    </row>
    <row r="246" ht="7.5" customHeight="1">
      <c r="A246" s="126"/>
      <c r="B246" s="242"/>
      <c r="C246" s="242"/>
      <c r="D246" s="242"/>
      <c r="E246" s="165"/>
      <c r="F246" s="165"/>
      <c r="G246" s="165"/>
      <c r="H246" s="126"/>
      <c r="I246" s="126"/>
      <c r="J246" s="166"/>
    </row>
    <row r="247" ht="7.5" customHeight="1">
      <c r="A247" s="126"/>
      <c r="B247" s="242"/>
      <c r="C247" s="242"/>
      <c r="D247" s="242"/>
      <c r="E247" s="165"/>
      <c r="F247" s="165"/>
      <c r="G247" s="165"/>
      <c r="H247" s="126"/>
      <c r="I247" s="126"/>
      <c r="J247" s="166"/>
    </row>
    <row r="248" ht="7.5" customHeight="1">
      <c r="A248" s="126"/>
      <c r="B248" s="242"/>
      <c r="C248" s="242"/>
      <c r="D248" s="242"/>
      <c r="E248" s="165"/>
      <c r="F248" s="165"/>
      <c r="G248" s="165"/>
      <c r="H248" s="126"/>
      <c r="I248" s="126"/>
      <c r="J248" s="166"/>
    </row>
    <row r="249" ht="7.5" customHeight="1">
      <c r="A249" s="126"/>
      <c r="B249" s="242"/>
      <c r="C249" s="242"/>
      <c r="D249" s="242"/>
      <c r="E249" s="165"/>
      <c r="F249" s="165"/>
      <c r="G249" s="165"/>
      <c r="H249" s="126"/>
      <c r="I249" s="126"/>
      <c r="J249" s="166"/>
    </row>
    <row r="250" ht="7.5" customHeight="1">
      <c r="A250" s="126"/>
      <c r="B250" s="242"/>
      <c r="C250" s="242"/>
      <c r="D250" s="242"/>
      <c r="E250" s="165"/>
      <c r="F250" s="165"/>
      <c r="G250" s="165"/>
      <c r="H250" s="126"/>
      <c r="I250" s="126"/>
      <c r="J250" s="166"/>
    </row>
    <row r="251" ht="7.5" customHeight="1">
      <c r="A251" s="126"/>
      <c r="B251" s="242"/>
      <c r="C251" s="242"/>
      <c r="D251" s="242"/>
      <c r="E251" s="165"/>
      <c r="F251" s="165"/>
      <c r="G251" s="165"/>
      <c r="H251" s="126"/>
      <c r="I251" s="126"/>
      <c r="J251" s="166"/>
    </row>
    <row r="252" ht="7.5" customHeight="1">
      <c r="A252" s="126"/>
      <c r="B252" s="242"/>
      <c r="C252" s="242"/>
      <c r="D252" s="242"/>
      <c r="E252" s="165"/>
      <c r="F252" s="165"/>
      <c r="G252" s="165"/>
      <c r="H252" s="126"/>
      <c r="I252" s="126"/>
      <c r="J252" s="166"/>
    </row>
    <row r="253" ht="7.5" customHeight="1">
      <c r="A253" s="126"/>
      <c r="B253" s="242"/>
      <c r="C253" s="242"/>
      <c r="D253" s="242"/>
      <c r="E253" s="165"/>
      <c r="F253" s="165"/>
      <c r="G253" s="165"/>
      <c r="H253" s="126"/>
      <c r="I253" s="126"/>
      <c r="J253" s="166"/>
    </row>
    <row r="254" ht="7.5" customHeight="1">
      <c r="A254" s="126"/>
      <c r="B254" s="242"/>
      <c r="C254" s="242"/>
      <c r="D254" s="242"/>
      <c r="E254" s="165"/>
      <c r="F254" s="165"/>
      <c r="G254" s="165"/>
      <c r="H254" s="126"/>
      <c r="I254" s="126"/>
      <c r="J254" s="166"/>
    </row>
    <row r="255" ht="7.5" customHeight="1">
      <c r="A255" s="126"/>
      <c r="B255" s="242"/>
      <c r="C255" s="242"/>
      <c r="D255" s="242"/>
      <c r="E255" s="165"/>
      <c r="F255" s="165"/>
      <c r="G255" s="165"/>
      <c r="H255" s="126"/>
      <c r="I255" s="126"/>
      <c r="J255" s="166"/>
    </row>
    <row r="256" ht="7.5" customHeight="1">
      <c r="A256" s="126"/>
      <c r="B256" s="242"/>
      <c r="C256" s="242"/>
      <c r="D256" s="242"/>
      <c r="E256" s="165"/>
      <c r="F256" s="165"/>
      <c r="G256" s="165"/>
      <c r="H256" s="126"/>
      <c r="I256" s="126"/>
      <c r="J256" s="166"/>
    </row>
    <row r="257" ht="7.5" customHeight="1">
      <c r="A257" s="126"/>
      <c r="B257" s="242"/>
      <c r="C257" s="242"/>
      <c r="D257" s="242"/>
      <c r="E257" s="165"/>
      <c r="F257" s="165"/>
      <c r="G257" s="165"/>
      <c r="H257" s="126"/>
      <c r="I257" s="126"/>
      <c r="J257" s="166"/>
    </row>
    <row r="258" ht="7.5" customHeight="1">
      <c r="A258" s="126"/>
      <c r="B258" s="242"/>
      <c r="C258" s="242"/>
      <c r="D258" s="242"/>
      <c r="E258" s="165"/>
      <c r="F258" s="165"/>
      <c r="G258" s="165"/>
      <c r="H258" s="126"/>
      <c r="I258" s="126"/>
      <c r="J258" s="166"/>
    </row>
    <row r="259" ht="7.5" customHeight="1">
      <c r="A259" s="126"/>
      <c r="B259" s="242"/>
      <c r="C259" s="242"/>
      <c r="D259" s="242"/>
      <c r="E259" s="165"/>
      <c r="F259" s="165"/>
      <c r="G259" s="165"/>
      <c r="H259" s="126"/>
      <c r="I259" s="126"/>
      <c r="J259" s="166"/>
    </row>
    <row r="260" ht="7.5" customHeight="1">
      <c r="A260" s="126"/>
      <c r="B260" s="242"/>
      <c r="C260" s="242"/>
      <c r="D260" s="242"/>
      <c r="E260" s="165"/>
      <c r="F260" s="165"/>
      <c r="G260" s="165"/>
      <c r="H260" s="126"/>
      <c r="I260" s="126"/>
      <c r="J260" s="166"/>
    </row>
    <row r="261" ht="7.5" customHeight="1">
      <c r="A261" s="126"/>
      <c r="B261" s="242"/>
      <c r="C261" s="242"/>
      <c r="D261" s="242"/>
      <c r="E261" s="165"/>
      <c r="F261" s="165"/>
      <c r="G261" s="165"/>
      <c r="H261" s="126"/>
      <c r="I261" s="126"/>
      <c r="J261" s="166"/>
    </row>
    <row r="262" ht="7.5" customHeight="1">
      <c r="A262" s="126"/>
      <c r="B262" s="242"/>
      <c r="C262" s="242"/>
      <c r="D262" s="242"/>
      <c r="E262" s="165"/>
      <c r="F262" s="165"/>
      <c r="G262" s="165"/>
      <c r="H262" s="126"/>
      <c r="I262" s="126"/>
      <c r="J262" s="166"/>
    </row>
    <row r="263" ht="7.5" customHeight="1">
      <c r="A263" s="126"/>
      <c r="B263" s="242"/>
      <c r="C263" s="242"/>
      <c r="D263" s="242"/>
      <c r="E263" s="165"/>
      <c r="F263" s="165"/>
      <c r="G263" s="165"/>
      <c r="H263" s="126"/>
      <c r="I263" s="126"/>
      <c r="J263" s="166"/>
    </row>
    <row r="264" ht="7.5" customHeight="1">
      <c r="A264" s="126"/>
      <c r="B264" s="242"/>
      <c r="C264" s="242"/>
      <c r="D264" s="242"/>
      <c r="E264" s="165"/>
      <c r="F264" s="165"/>
      <c r="G264" s="165"/>
      <c r="H264" s="126"/>
      <c r="I264" s="126"/>
      <c r="J264" s="166"/>
    </row>
    <row r="265" ht="7.5" customHeight="1">
      <c r="A265" s="126"/>
      <c r="B265" s="242"/>
      <c r="C265" s="242"/>
      <c r="D265" s="242"/>
      <c r="E265" s="165"/>
      <c r="F265" s="165"/>
      <c r="G265" s="165"/>
      <c r="H265" s="126"/>
      <c r="I265" s="126"/>
      <c r="J265" s="166"/>
    </row>
    <row r="266" ht="7.5" customHeight="1">
      <c r="A266" s="126"/>
      <c r="B266" s="242"/>
      <c r="C266" s="242"/>
      <c r="D266" s="242"/>
      <c r="E266" s="165"/>
      <c r="F266" s="165"/>
      <c r="G266" s="165"/>
      <c r="H266" s="126"/>
      <c r="I266" s="126"/>
      <c r="J266" s="166"/>
    </row>
    <row r="267" ht="7.5" customHeight="1">
      <c r="A267" s="126"/>
      <c r="B267" s="242"/>
      <c r="C267" s="242"/>
      <c r="D267" s="242"/>
      <c r="E267" s="165"/>
      <c r="F267" s="165"/>
      <c r="G267" s="165"/>
      <c r="H267" s="126"/>
      <c r="I267" s="126"/>
      <c r="J267" s="166"/>
    </row>
    <row r="268" ht="7.5" customHeight="1">
      <c r="A268" s="126"/>
      <c r="B268" s="242"/>
      <c r="C268" s="242"/>
      <c r="D268" s="242"/>
      <c r="E268" s="165"/>
      <c r="F268" s="165"/>
      <c r="G268" s="165"/>
      <c r="H268" s="126"/>
      <c r="I268" s="126"/>
      <c r="J268" s="166"/>
    </row>
    <row r="269" ht="7.5" customHeight="1">
      <c r="A269" s="126"/>
      <c r="B269" s="242"/>
      <c r="C269" s="242"/>
      <c r="D269" s="242"/>
      <c r="E269" s="165"/>
      <c r="F269" s="165"/>
      <c r="G269" s="165"/>
      <c r="H269" s="126"/>
      <c r="I269" s="126"/>
      <c r="J269" s="166"/>
    </row>
    <row r="270" ht="7.5" customHeight="1">
      <c r="A270" s="126"/>
      <c r="B270" s="242"/>
      <c r="C270" s="242"/>
      <c r="D270" s="242"/>
      <c r="E270" s="165"/>
      <c r="F270" s="165"/>
      <c r="G270" s="165"/>
      <c r="H270" s="126"/>
      <c r="I270" s="126"/>
      <c r="J270" s="166"/>
    </row>
    <row r="271" ht="7.5" customHeight="1">
      <c r="A271" s="126"/>
      <c r="B271" s="242"/>
      <c r="C271" s="242"/>
      <c r="D271" s="242"/>
      <c r="E271" s="165"/>
      <c r="F271" s="165"/>
      <c r="G271" s="165"/>
      <c r="H271" s="126"/>
      <c r="I271" s="126"/>
      <c r="J271" s="166"/>
    </row>
    <row r="272" ht="7.5" customHeight="1">
      <c r="A272" s="126"/>
      <c r="B272" s="242"/>
      <c r="C272" s="242"/>
      <c r="D272" s="242"/>
      <c r="E272" s="165"/>
      <c r="F272" s="165"/>
      <c r="G272" s="165"/>
      <c r="H272" s="126"/>
      <c r="I272" s="126"/>
      <c r="J272" s="166"/>
    </row>
    <row r="273" ht="7.5" customHeight="1">
      <c r="A273" s="126"/>
      <c r="B273" s="242"/>
      <c r="C273" s="242"/>
      <c r="D273" s="242"/>
      <c r="E273" s="165"/>
      <c r="F273" s="165"/>
      <c r="G273" s="165"/>
      <c r="H273" s="126"/>
      <c r="I273" s="126"/>
      <c r="J273" s="166"/>
    </row>
    <row r="274" ht="7.5" customHeight="1">
      <c r="A274" s="126"/>
      <c r="B274" s="242"/>
      <c r="C274" s="242"/>
      <c r="D274" s="242"/>
      <c r="E274" s="165"/>
      <c r="F274" s="165"/>
      <c r="G274" s="165"/>
      <c r="H274" s="126"/>
      <c r="I274" s="126"/>
      <c r="J274" s="166"/>
    </row>
    <row r="275" ht="7.5" customHeight="1">
      <c r="A275" s="126"/>
      <c r="B275" s="242"/>
      <c r="C275" s="242"/>
      <c r="D275" s="242"/>
      <c r="E275" s="165"/>
      <c r="F275" s="165"/>
      <c r="G275" s="165"/>
      <c r="H275" s="126"/>
      <c r="I275" s="126"/>
      <c r="J275" s="166"/>
    </row>
    <row r="276" ht="7.5" customHeight="1">
      <c r="A276" s="126"/>
      <c r="B276" s="242"/>
      <c r="C276" s="242"/>
      <c r="D276" s="242"/>
      <c r="E276" s="165"/>
      <c r="F276" s="165"/>
      <c r="G276" s="165"/>
      <c r="H276" s="126"/>
      <c r="I276" s="126"/>
      <c r="J276" s="166"/>
    </row>
    <row r="277" ht="7.5" customHeight="1">
      <c r="A277" s="126"/>
      <c r="B277" s="242"/>
      <c r="C277" s="242"/>
      <c r="D277" s="242"/>
      <c r="E277" s="165"/>
      <c r="F277" s="165"/>
      <c r="G277" s="165"/>
      <c r="H277" s="126"/>
      <c r="I277" s="126"/>
      <c r="J277" s="166"/>
    </row>
    <row r="278" ht="7.5" customHeight="1">
      <c r="A278" s="126"/>
      <c r="B278" s="242"/>
      <c r="C278" s="242"/>
      <c r="D278" s="242"/>
      <c r="E278" s="165"/>
      <c r="F278" s="165"/>
      <c r="G278" s="165"/>
      <c r="H278" s="126"/>
      <c r="I278" s="126"/>
      <c r="J278" s="166"/>
    </row>
    <row r="279" ht="7.5" customHeight="1">
      <c r="A279" s="126"/>
      <c r="B279" s="242"/>
      <c r="C279" s="242"/>
      <c r="D279" s="242"/>
      <c r="E279" s="165"/>
      <c r="F279" s="165"/>
      <c r="G279" s="165"/>
      <c r="H279" s="126"/>
      <c r="I279" s="126"/>
      <c r="J279" s="166"/>
    </row>
    <row r="280" ht="7.5" customHeight="1">
      <c r="A280" s="126"/>
      <c r="B280" s="242"/>
      <c r="C280" s="242"/>
      <c r="D280" s="242"/>
      <c r="E280" s="165"/>
      <c r="F280" s="165"/>
      <c r="G280" s="165"/>
      <c r="H280" s="126"/>
      <c r="I280" s="126"/>
      <c r="J280" s="166"/>
    </row>
    <row r="281" ht="7.5" customHeight="1">
      <c r="A281" s="126"/>
      <c r="B281" s="242"/>
      <c r="C281" s="242"/>
      <c r="D281" s="242"/>
      <c r="E281" s="165"/>
      <c r="F281" s="165"/>
      <c r="G281" s="165"/>
      <c r="H281" s="126"/>
      <c r="I281" s="126"/>
      <c r="J281" s="166"/>
    </row>
    <row r="282" ht="7.5" customHeight="1">
      <c r="A282" s="126"/>
      <c r="B282" s="242"/>
      <c r="C282" s="242"/>
      <c r="D282" s="242"/>
      <c r="E282" s="165"/>
      <c r="F282" s="165"/>
      <c r="G282" s="165"/>
      <c r="H282" s="126"/>
      <c r="I282" s="126"/>
      <c r="J282" s="166"/>
    </row>
    <row r="283" ht="7.5" customHeight="1">
      <c r="A283" s="126"/>
      <c r="B283" s="242"/>
      <c r="C283" s="242"/>
      <c r="D283" s="242"/>
      <c r="E283" s="165"/>
      <c r="F283" s="165"/>
      <c r="G283" s="165"/>
      <c r="H283" s="126"/>
      <c r="I283" s="126"/>
      <c r="J283" s="166"/>
    </row>
    <row r="284" ht="7.5" customHeight="1">
      <c r="A284" s="126"/>
      <c r="B284" s="242"/>
      <c r="C284" s="242"/>
      <c r="D284" s="242"/>
      <c r="E284" s="165"/>
      <c r="F284" s="165"/>
      <c r="G284" s="165"/>
      <c r="H284" s="126"/>
      <c r="I284" s="126"/>
      <c r="J284" s="166"/>
    </row>
    <row r="285" ht="7.5" customHeight="1">
      <c r="A285" s="126"/>
      <c r="B285" s="242"/>
      <c r="C285" s="242"/>
      <c r="D285" s="242"/>
      <c r="E285" s="165"/>
      <c r="F285" s="165"/>
      <c r="G285" s="165"/>
      <c r="H285" s="126"/>
      <c r="I285" s="126"/>
      <c r="J285" s="166"/>
    </row>
    <row r="286" ht="7.5" customHeight="1">
      <c r="A286" s="126"/>
      <c r="B286" s="242"/>
      <c r="C286" s="242"/>
      <c r="D286" s="242"/>
      <c r="E286" s="165"/>
      <c r="F286" s="165"/>
      <c r="G286" s="165"/>
      <c r="H286" s="126"/>
      <c r="I286" s="126"/>
      <c r="J286" s="166"/>
    </row>
    <row r="287" ht="7.5" customHeight="1">
      <c r="A287" s="126"/>
      <c r="B287" s="242"/>
      <c r="C287" s="242"/>
      <c r="D287" s="242"/>
      <c r="E287" s="165"/>
      <c r="F287" s="165"/>
      <c r="G287" s="165"/>
      <c r="H287" s="126"/>
      <c r="I287" s="126"/>
      <c r="J287" s="166"/>
    </row>
    <row r="288" ht="7.5" customHeight="1">
      <c r="A288" s="126"/>
      <c r="B288" s="242"/>
      <c r="C288" s="242"/>
      <c r="D288" s="242"/>
      <c r="E288" s="165"/>
      <c r="F288" s="165"/>
      <c r="G288" s="165"/>
      <c r="H288" s="126"/>
      <c r="I288" s="126"/>
      <c r="J288" s="166"/>
    </row>
    <row r="289" ht="7.5" customHeight="1">
      <c r="A289" s="126"/>
      <c r="B289" s="242"/>
      <c r="C289" s="242"/>
      <c r="D289" s="242"/>
      <c r="E289" s="165"/>
      <c r="F289" s="165"/>
      <c r="G289" s="165"/>
      <c r="H289" s="126"/>
      <c r="I289" s="126"/>
      <c r="J289" s="166"/>
    </row>
    <row r="290" ht="7.5" customHeight="1">
      <c r="A290" s="126"/>
      <c r="B290" s="242"/>
      <c r="C290" s="242"/>
      <c r="D290" s="242"/>
      <c r="E290" s="165"/>
      <c r="F290" s="165"/>
      <c r="G290" s="165"/>
      <c r="H290" s="126"/>
      <c r="I290" s="126"/>
      <c r="J290" s="166"/>
    </row>
    <row r="291" ht="7.5" customHeight="1">
      <c r="A291" s="126"/>
      <c r="B291" s="242"/>
      <c r="C291" s="242"/>
      <c r="D291" s="242"/>
      <c r="E291" s="165"/>
      <c r="F291" s="165"/>
      <c r="G291" s="165"/>
      <c r="H291" s="126"/>
      <c r="I291" s="126"/>
      <c r="J291" s="166"/>
    </row>
    <row r="292" ht="7.5" customHeight="1">
      <c r="A292" s="126"/>
      <c r="B292" s="242"/>
      <c r="C292" s="242"/>
      <c r="D292" s="242"/>
      <c r="E292" s="165"/>
      <c r="F292" s="165"/>
      <c r="G292" s="165"/>
      <c r="H292" s="126"/>
      <c r="I292" s="126"/>
      <c r="J292" s="166"/>
    </row>
    <row r="293" ht="7.5" customHeight="1">
      <c r="A293" s="126"/>
      <c r="B293" s="242"/>
      <c r="C293" s="242"/>
      <c r="D293" s="242"/>
      <c r="E293" s="165"/>
      <c r="F293" s="165"/>
      <c r="G293" s="165"/>
      <c r="H293" s="126"/>
      <c r="I293" s="126"/>
      <c r="J293" s="166"/>
    </row>
    <row r="294" ht="7.5" customHeight="1">
      <c r="A294" s="126"/>
      <c r="B294" s="242"/>
      <c r="C294" s="242"/>
      <c r="D294" s="242"/>
      <c r="E294" s="165"/>
      <c r="F294" s="165"/>
      <c r="G294" s="165"/>
      <c r="H294" s="126"/>
      <c r="I294" s="126"/>
      <c r="J294" s="166"/>
    </row>
    <row r="295" ht="7.5" customHeight="1">
      <c r="A295" s="126"/>
      <c r="B295" s="242"/>
      <c r="C295" s="242"/>
      <c r="D295" s="242"/>
      <c r="E295" s="165"/>
      <c r="F295" s="165"/>
      <c r="G295" s="165"/>
      <c r="H295" s="126"/>
      <c r="I295" s="126"/>
      <c r="J295" s="166"/>
    </row>
    <row r="296" ht="7.5" customHeight="1">
      <c r="A296" s="126"/>
      <c r="B296" s="242"/>
      <c r="C296" s="242"/>
      <c r="D296" s="242"/>
      <c r="E296" s="165"/>
      <c r="F296" s="165"/>
      <c r="G296" s="165"/>
      <c r="H296" s="126"/>
      <c r="I296" s="126"/>
      <c r="J296" s="166"/>
    </row>
    <row r="297" ht="7.5" customHeight="1">
      <c r="A297" s="126"/>
      <c r="B297" s="242"/>
      <c r="C297" s="242"/>
      <c r="D297" s="242"/>
      <c r="E297" s="165"/>
      <c r="F297" s="165"/>
      <c r="G297" s="165"/>
      <c r="H297" s="126"/>
      <c r="I297" s="126"/>
      <c r="J297" s="166"/>
    </row>
    <row r="298" ht="7.5" customHeight="1">
      <c r="A298" s="126"/>
      <c r="B298" s="242"/>
      <c r="C298" s="242"/>
      <c r="D298" s="242"/>
      <c r="E298" s="165"/>
      <c r="F298" s="165"/>
      <c r="G298" s="165"/>
      <c r="H298" s="126"/>
      <c r="I298" s="126"/>
      <c r="J298" s="166"/>
    </row>
    <row r="299" ht="7.5" customHeight="1">
      <c r="A299" s="126"/>
      <c r="B299" s="242"/>
      <c r="C299" s="242"/>
      <c r="D299" s="242"/>
      <c r="E299" s="165"/>
      <c r="F299" s="165"/>
      <c r="G299" s="165"/>
      <c r="H299" s="126"/>
      <c r="I299" s="126"/>
      <c r="J299" s="166"/>
    </row>
    <row r="300" ht="7.5" customHeight="1">
      <c r="A300" s="126"/>
      <c r="B300" s="242"/>
      <c r="C300" s="242"/>
      <c r="D300" s="242"/>
      <c r="E300" s="165"/>
      <c r="F300" s="165"/>
      <c r="G300" s="165"/>
      <c r="H300" s="126"/>
      <c r="I300" s="126"/>
      <c r="J300" s="166"/>
    </row>
    <row r="301" ht="7.5" customHeight="1">
      <c r="A301" s="126"/>
      <c r="B301" s="242"/>
      <c r="C301" s="242"/>
      <c r="D301" s="242"/>
      <c r="E301" s="165"/>
      <c r="F301" s="165"/>
      <c r="G301" s="165"/>
      <c r="H301" s="126"/>
      <c r="I301" s="126"/>
      <c r="J301" s="166"/>
    </row>
    <row r="302" ht="7.5" customHeight="1">
      <c r="A302" s="126"/>
      <c r="B302" s="242"/>
      <c r="C302" s="242"/>
      <c r="D302" s="242"/>
      <c r="E302" s="165"/>
      <c r="F302" s="165"/>
      <c r="G302" s="165"/>
      <c r="H302" s="126"/>
      <c r="I302" s="126"/>
      <c r="J302" s="166"/>
    </row>
    <row r="303" ht="7.5" customHeight="1">
      <c r="A303" s="126"/>
      <c r="B303" s="242"/>
      <c r="C303" s="242"/>
      <c r="D303" s="242"/>
      <c r="E303" s="165"/>
      <c r="F303" s="165"/>
      <c r="G303" s="165"/>
      <c r="H303" s="126"/>
      <c r="I303" s="126"/>
      <c r="J303" s="166"/>
    </row>
    <row r="304" ht="7.5" customHeight="1">
      <c r="A304" s="126"/>
      <c r="B304" s="242"/>
      <c r="C304" s="242"/>
      <c r="D304" s="242"/>
      <c r="E304" s="165"/>
      <c r="F304" s="165"/>
      <c r="G304" s="165"/>
      <c r="H304" s="126"/>
      <c r="I304" s="126"/>
      <c r="J304" s="166"/>
    </row>
    <row r="305" ht="7.5" customHeight="1">
      <c r="A305" s="126"/>
      <c r="B305" s="242"/>
      <c r="C305" s="242"/>
      <c r="D305" s="242"/>
      <c r="E305" s="165"/>
      <c r="F305" s="165"/>
      <c r="G305" s="165"/>
      <c r="H305" s="126"/>
      <c r="I305" s="126"/>
      <c r="J305" s="166"/>
    </row>
    <row r="306" ht="7.5" customHeight="1">
      <c r="A306" s="126"/>
      <c r="B306" s="242"/>
      <c r="C306" s="242"/>
      <c r="D306" s="242"/>
      <c r="E306" s="165"/>
      <c r="F306" s="165"/>
      <c r="G306" s="165"/>
      <c r="H306" s="126"/>
      <c r="I306" s="126"/>
      <c r="J306" s="166"/>
    </row>
    <row r="307" ht="7.5" customHeight="1">
      <c r="A307" s="126"/>
      <c r="B307" s="242"/>
      <c r="C307" s="242"/>
      <c r="D307" s="242"/>
      <c r="E307" s="165"/>
      <c r="F307" s="165"/>
      <c r="G307" s="165"/>
      <c r="H307" s="126"/>
      <c r="I307" s="126"/>
      <c r="J307" s="166"/>
    </row>
    <row r="308" ht="7.5" customHeight="1">
      <c r="A308" s="126"/>
      <c r="B308" s="242"/>
      <c r="C308" s="242"/>
      <c r="D308" s="242"/>
      <c r="E308" s="165"/>
      <c r="F308" s="165"/>
      <c r="G308" s="165"/>
      <c r="H308" s="126"/>
      <c r="I308" s="126"/>
      <c r="J308" s="166"/>
    </row>
    <row r="309" ht="7.5" customHeight="1">
      <c r="A309" s="126"/>
      <c r="B309" s="242"/>
      <c r="C309" s="242"/>
      <c r="D309" s="242"/>
      <c r="E309" s="165"/>
      <c r="F309" s="165"/>
      <c r="G309" s="165"/>
      <c r="H309" s="126"/>
      <c r="I309" s="126"/>
      <c r="J309" s="166"/>
    </row>
    <row r="310" ht="7.5" customHeight="1">
      <c r="A310" s="126"/>
      <c r="B310" s="242"/>
      <c r="C310" s="242"/>
      <c r="D310" s="242"/>
      <c r="E310" s="165"/>
      <c r="F310" s="165"/>
      <c r="G310" s="165"/>
      <c r="H310" s="126"/>
      <c r="I310" s="126"/>
      <c r="J310" s="166"/>
    </row>
    <row r="311" ht="7.5" customHeight="1">
      <c r="A311" s="126"/>
      <c r="B311" s="242"/>
      <c r="C311" s="242"/>
      <c r="D311" s="242"/>
      <c r="E311" s="165"/>
      <c r="F311" s="165"/>
      <c r="G311" s="165"/>
      <c r="H311" s="126"/>
      <c r="I311" s="126"/>
      <c r="J311" s="166"/>
    </row>
    <row r="312" ht="7.5" customHeight="1">
      <c r="A312" s="126"/>
      <c r="B312" s="242"/>
      <c r="C312" s="242"/>
      <c r="D312" s="242"/>
      <c r="E312" s="165"/>
      <c r="F312" s="165"/>
      <c r="G312" s="165"/>
      <c r="H312" s="126"/>
      <c r="I312" s="126"/>
      <c r="J312" s="166"/>
    </row>
    <row r="313" ht="7.5" customHeight="1">
      <c r="A313" s="126"/>
      <c r="B313" s="242"/>
      <c r="C313" s="242"/>
      <c r="D313" s="242"/>
      <c r="E313" s="165"/>
      <c r="F313" s="165"/>
      <c r="G313" s="165"/>
      <c r="H313" s="126"/>
      <c r="I313" s="126"/>
      <c r="J313" s="166"/>
    </row>
    <row r="314" ht="7.5" customHeight="1">
      <c r="A314" s="126"/>
      <c r="B314" s="242"/>
      <c r="C314" s="242"/>
      <c r="D314" s="242"/>
      <c r="E314" s="165"/>
      <c r="F314" s="165"/>
      <c r="G314" s="165"/>
      <c r="H314" s="126"/>
      <c r="I314" s="126"/>
      <c r="J314" s="166"/>
    </row>
    <row r="315" ht="7.5" customHeight="1">
      <c r="A315" s="126"/>
      <c r="B315" s="242"/>
      <c r="C315" s="242"/>
      <c r="D315" s="242"/>
      <c r="E315" s="165"/>
      <c r="F315" s="165"/>
      <c r="G315" s="165"/>
      <c r="H315" s="126"/>
      <c r="I315" s="126"/>
      <c r="J315" s="166"/>
    </row>
    <row r="316" ht="7.5" customHeight="1">
      <c r="A316" s="126"/>
      <c r="B316" s="242"/>
      <c r="C316" s="242"/>
      <c r="D316" s="242"/>
      <c r="E316" s="165"/>
      <c r="F316" s="165"/>
      <c r="G316" s="165"/>
      <c r="H316" s="126"/>
      <c r="I316" s="126"/>
      <c r="J316" s="166"/>
    </row>
    <row r="317" ht="7.5" customHeight="1">
      <c r="A317" s="126"/>
      <c r="B317" s="242"/>
      <c r="C317" s="242"/>
      <c r="D317" s="242"/>
      <c r="E317" s="165"/>
      <c r="F317" s="165"/>
      <c r="G317" s="165"/>
      <c r="H317" s="126"/>
      <c r="I317" s="126"/>
      <c r="J317" s="166"/>
    </row>
    <row r="318" ht="7.5" customHeight="1">
      <c r="A318" s="126"/>
      <c r="B318" s="242"/>
      <c r="C318" s="242"/>
      <c r="D318" s="242"/>
      <c r="E318" s="165"/>
      <c r="F318" s="165"/>
      <c r="G318" s="165"/>
      <c r="H318" s="126"/>
      <c r="I318" s="126"/>
      <c r="J318" s="166"/>
    </row>
    <row r="319" ht="7.5" customHeight="1">
      <c r="A319" s="126"/>
      <c r="B319" s="242"/>
      <c r="C319" s="242"/>
      <c r="D319" s="242"/>
      <c r="E319" s="165"/>
      <c r="F319" s="165"/>
      <c r="G319" s="165"/>
      <c r="H319" s="126"/>
      <c r="I319" s="126"/>
      <c r="J319" s="166"/>
    </row>
    <row r="320" ht="7.5" customHeight="1">
      <c r="A320" s="126"/>
      <c r="B320" s="242"/>
      <c r="C320" s="242"/>
      <c r="D320" s="242"/>
      <c r="E320" s="165"/>
      <c r="F320" s="165"/>
      <c r="G320" s="165"/>
      <c r="H320" s="126"/>
      <c r="I320" s="126"/>
      <c r="J320" s="166"/>
    </row>
    <row r="321" ht="7.5" customHeight="1">
      <c r="A321" s="126"/>
      <c r="B321" s="242"/>
      <c r="C321" s="242"/>
      <c r="D321" s="242"/>
      <c r="E321" s="165"/>
      <c r="F321" s="165"/>
      <c r="G321" s="165"/>
      <c r="H321" s="126"/>
      <c r="I321" s="126"/>
      <c r="J321" s="166"/>
    </row>
    <row r="322" ht="7.5" customHeight="1">
      <c r="A322" s="126"/>
      <c r="B322" s="242"/>
      <c r="C322" s="242"/>
      <c r="D322" s="242"/>
      <c r="E322" s="165"/>
      <c r="F322" s="165"/>
      <c r="G322" s="165"/>
      <c r="H322" s="126"/>
      <c r="I322" s="126"/>
      <c r="J322" s="166"/>
    </row>
    <row r="323" ht="7.5" customHeight="1">
      <c r="A323" s="126"/>
      <c r="B323" s="242"/>
      <c r="C323" s="242"/>
      <c r="D323" s="242"/>
      <c r="E323" s="165"/>
      <c r="F323" s="165"/>
      <c r="G323" s="165"/>
      <c r="H323" s="126"/>
      <c r="I323" s="126"/>
      <c r="J323" s="166"/>
    </row>
    <row r="324" ht="7.5" customHeight="1">
      <c r="A324" s="126"/>
      <c r="B324" s="242"/>
      <c r="C324" s="242"/>
      <c r="D324" s="242"/>
      <c r="E324" s="165"/>
      <c r="F324" s="165"/>
      <c r="G324" s="165"/>
      <c r="H324" s="126"/>
      <c r="I324" s="126"/>
      <c r="J324" s="166"/>
    </row>
    <row r="325" ht="7.5" customHeight="1">
      <c r="A325" s="126"/>
      <c r="B325" s="242"/>
      <c r="C325" s="242"/>
      <c r="D325" s="242"/>
      <c r="E325" s="165"/>
      <c r="F325" s="165"/>
      <c r="G325" s="165"/>
      <c r="H325" s="126"/>
      <c r="I325" s="126"/>
      <c r="J325" s="166"/>
    </row>
    <row r="326" ht="7.5" customHeight="1">
      <c r="A326" s="126"/>
      <c r="B326" s="242"/>
      <c r="C326" s="242"/>
      <c r="D326" s="242"/>
      <c r="E326" s="165"/>
      <c r="F326" s="165"/>
      <c r="G326" s="165"/>
      <c r="H326" s="126"/>
      <c r="I326" s="126"/>
      <c r="J326" s="166"/>
    </row>
    <row r="327" ht="7.5" customHeight="1">
      <c r="A327" s="126"/>
      <c r="B327" s="242"/>
      <c r="C327" s="242"/>
      <c r="D327" s="242"/>
      <c r="E327" s="165"/>
      <c r="F327" s="165"/>
      <c r="G327" s="165"/>
      <c r="H327" s="126"/>
      <c r="I327" s="126"/>
      <c r="J327" s="166"/>
    </row>
    <row r="328" ht="7.5" customHeight="1">
      <c r="A328" s="126"/>
      <c r="B328" s="242"/>
      <c r="C328" s="242"/>
      <c r="D328" s="242"/>
      <c r="E328" s="165"/>
      <c r="F328" s="165"/>
      <c r="G328" s="165"/>
      <c r="H328" s="126"/>
      <c r="I328" s="126"/>
      <c r="J328" s="166"/>
    </row>
    <row r="329" ht="7.5" customHeight="1">
      <c r="A329" s="126"/>
      <c r="B329" s="242"/>
      <c r="C329" s="242"/>
      <c r="D329" s="242"/>
      <c r="E329" s="165"/>
      <c r="F329" s="165"/>
      <c r="G329" s="165"/>
      <c r="H329" s="126"/>
      <c r="I329" s="126"/>
      <c r="J329" s="166"/>
    </row>
    <row r="330" ht="7.5" customHeight="1">
      <c r="A330" s="126"/>
      <c r="B330" s="242"/>
      <c r="C330" s="242"/>
      <c r="D330" s="242"/>
      <c r="E330" s="165"/>
      <c r="F330" s="165"/>
      <c r="G330" s="165"/>
      <c r="H330" s="126"/>
      <c r="I330" s="126"/>
      <c r="J330" s="166"/>
    </row>
    <row r="331" ht="7.5" customHeight="1">
      <c r="A331" s="126"/>
      <c r="B331" s="242"/>
      <c r="C331" s="242"/>
      <c r="D331" s="242"/>
      <c r="E331" s="165"/>
      <c r="F331" s="165"/>
      <c r="G331" s="165"/>
      <c r="H331" s="126"/>
      <c r="I331" s="126"/>
      <c r="J331" s="166"/>
    </row>
    <row r="332" ht="7.5" customHeight="1">
      <c r="A332" s="126"/>
      <c r="B332" s="242"/>
      <c r="C332" s="242"/>
      <c r="D332" s="242"/>
      <c r="E332" s="165"/>
      <c r="F332" s="165"/>
      <c r="G332" s="165"/>
      <c r="H332" s="126"/>
      <c r="I332" s="126"/>
      <c r="J332" s="166"/>
    </row>
    <row r="333" ht="7.5" customHeight="1">
      <c r="A333" s="126"/>
      <c r="B333" s="242"/>
      <c r="C333" s="242"/>
      <c r="D333" s="242"/>
      <c r="E333" s="165"/>
      <c r="F333" s="165"/>
      <c r="G333" s="165"/>
      <c r="H333" s="126"/>
      <c r="I333" s="126"/>
      <c r="J333" s="166"/>
    </row>
    <row r="334" ht="7.5" customHeight="1">
      <c r="A334" s="126"/>
      <c r="B334" s="242"/>
      <c r="C334" s="242"/>
      <c r="D334" s="242"/>
      <c r="E334" s="165"/>
      <c r="F334" s="165"/>
      <c r="G334" s="165"/>
      <c r="H334" s="126"/>
      <c r="I334" s="126"/>
      <c r="J334" s="166"/>
    </row>
    <row r="335" ht="7.5" customHeight="1">
      <c r="A335" s="126"/>
      <c r="B335" s="242"/>
      <c r="C335" s="242"/>
      <c r="D335" s="242"/>
      <c r="E335" s="165"/>
      <c r="F335" s="165"/>
      <c r="G335" s="165"/>
      <c r="H335" s="126"/>
      <c r="I335" s="126"/>
      <c r="J335" s="166"/>
    </row>
    <row r="336" ht="7.5" customHeight="1">
      <c r="A336" s="126"/>
      <c r="B336" s="242"/>
      <c r="C336" s="242"/>
      <c r="D336" s="242"/>
      <c r="E336" s="165"/>
      <c r="F336" s="165"/>
      <c r="G336" s="165"/>
      <c r="H336" s="126"/>
      <c r="I336" s="126"/>
      <c r="J336" s="166"/>
    </row>
    <row r="337" ht="7.5" customHeight="1">
      <c r="A337" s="126"/>
      <c r="B337" s="242"/>
      <c r="C337" s="242"/>
      <c r="D337" s="242"/>
      <c r="E337" s="165"/>
      <c r="F337" s="165"/>
      <c r="G337" s="165"/>
      <c r="H337" s="126"/>
      <c r="I337" s="126"/>
      <c r="J337" s="166"/>
    </row>
    <row r="338" ht="7.5" customHeight="1">
      <c r="A338" s="126"/>
      <c r="B338" s="242"/>
      <c r="C338" s="242"/>
      <c r="D338" s="242"/>
      <c r="E338" s="165"/>
      <c r="F338" s="165"/>
      <c r="G338" s="165"/>
      <c r="H338" s="126"/>
      <c r="I338" s="126"/>
      <c r="J338" s="166"/>
    </row>
    <row r="339" ht="7.5" customHeight="1">
      <c r="A339" s="126"/>
      <c r="B339" s="242"/>
      <c r="C339" s="242"/>
      <c r="D339" s="242"/>
      <c r="E339" s="165"/>
      <c r="F339" s="165"/>
      <c r="G339" s="165"/>
      <c r="H339" s="126"/>
      <c r="I339" s="126"/>
      <c r="J339" s="166"/>
    </row>
    <row r="340" ht="7.5" customHeight="1">
      <c r="A340" s="126"/>
      <c r="B340" s="242"/>
      <c r="C340" s="242"/>
      <c r="D340" s="242"/>
      <c r="E340" s="165"/>
      <c r="F340" s="165"/>
      <c r="G340" s="165"/>
      <c r="H340" s="126"/>
      <c r="I340" s="126"/>
      <c r="J340" s="166"/>
    </row>
    <row r="341" ht="7.5" customHeight="1">
      <c r="A341" s="126"/>
      <c r="B341" s="242"/>
      <c r="C341" s="242"/>
      <c r="D341" s="242"/>
      <c r="E341" s="165"/>
      <c r="F341" s="165"/>
      <c r="G341" s="165"/>
      <c r="H341" s="126"/>
      <c r="I341" s="126"/>
      <c r="J341" s="166"/>
    </row>
    <row r="342" ht="7.5" customHeight="1">
      <c r="A342" s="126"/>
      <c r="B342" s="242"/>
      <c r="C342" s="242"/>
      <c r="D342" s="242"/>
      <c r="E342" s="165"/>
      <c r="F342" s="165"/>
      <c r="G342" s="165"/>
      <c r="H342" s="126"/>
      <c r="I342" s="126"/>
      <c r="J342" s="166"/>
    </row>
    <row r="343" ht="7.5" customHeight="1">
      <c r="A343" s="126"/>
      <c r="B343" s="242"/>
      <c r="C343" s="242"/>
      <c r="D343" s="242"/>
      <c r="E343" s="165"/>
      <c r="F343" s="165"/>
      <c r="G343" s="165"/>
      <c r="H343" s="126"/>
      <c r="I343" s="126"/>
      <c r="J343" s="166"/>
    </row>
    <row r="344" ht="7.5" customHeight="1">
      <c r="A344" s="126"/>
      <c r="B344" s="242"/>
      <c r="C344" s="242"/>
      <c r="D344" s="242"/>
      <c r="E344" s="165"/>
      <c r="F344" s="165"/>
      <c r="G344" s="165"/>
      <c r="H344" s="126"/>
      <c r="I344" s="126"/>
      <c r="J344" s="166"/>
    </row>
    <row r="345" ht="7.5" customHeight="1">
      <c r="A345" s="126"/>
      <c r="B345" s="242"/>
      <c r="C345" s="242"/>
      <c r="D345" s="242"/>
      <c r="E345" s="165"/>
      <c r="F345" s="165"/>
      <c r="G345" s="165"/>
      <c r="H345" s="126"/>
      <c r="I345" s="126"/>
      <c r="J345" s="166"/>
    </row>
    <row r="346" ht="7.5" customHeight="1">
      <c r="A346" s="126"/>
      <c r="B346" s="242"/>
      <c r="C346" s="242"/>
      <c r="D346" s="242"/>
      <c r="E346" s="165"/>
      <c r="F346" s="165"/>
      <c r="G346" s="165"/>
      <c r="H346" s="126"/>
      <c r="I346" s="126"/>
      <c r="J346" s="166"/>
    </row>
    <row r="347" ht="7.5" customHeight="1">
      <c r="A347" s="126"/>
      <c r="B347" s="242"/>
      <c r="C347" s="242"/>
      <c r="D347" s="242"/>
      <c r="E347" s="165"/>
      <c r="F347" s="165"/>
      <c r="G347" s="165"/>
      <c r="H347" s="126"/>
      <c r="I347" s="126"/>
      <c r="J347" s="166"/>
    </row>
    <row r="348" ht="7.5" customHeight="1">
      <c r="A348" s="126"/>
      <c r="B348" s="242"/>
      <c r="C348" s="242"/>
      <c r="D348" s="242"/>
      <c r="E348" s="165"/>
      <c r="F348" s="165"/>
      <c r="G348" s="165"/>
      <c r="H348" s="126"/>
      <c r="I348" s="126"/>
      <c r="J348" s="166"/>
    </row>
    <row r="349" ht="7.5" customHeight="1">
      <c r="A349" s="126"/>
      <c r="B349" s="242"/>
      <c r="C349" s="242"/>
      <c r="D349" s="242"/>
      <c r="E349" s="165"/>
      <c r="F349" s="165"/>
      <c r="G349" s="165"/>
      <c r="H349" s="126"/>
      <c r="I349" s="126"/>
      <c r="J349" s="166"/>
    </row>
    <row r="350" ht="7.5" customHeight="1">
      <c r="A350" s="126"/>
      <c r="B350" s="242"/>
      <c r="C350" s="242"/>
      <c r="D350" s="242"/>
      <c r="E350" s="165"/>
      <c r="F350" s="165"/>
      <c r="G350" s="165"/>
      <c r="H350" s="126"/>
      <c r="I350" s="126"/>
      <c r="J350" s="166"/>
    </row>
    <row r="351" ht="7.5" customHeight="1">
      <c r="A351" s="126"/>
      <c r="B351" s="242"/>
      <c r="C351" s="242"/>
      <c r="D351" s="242"/>
      <c r="E351" s="165"/>
      <c r="F351" s="165"/>
      <c r="G351" s="165"/>
      <c r="H351" s="126"/>
      <c r="I351" s="126"/>
      <c r="J351" s="166"/>
    </row>
    <row r="352" ht="7.5" customHeight="1">
      <c r="A352" s="126"/>
      <c r="B352" s="242"/>
      <c r="C352" s="242"/>
      <c r="D352" s="242"/>
      <c r="E352" s="165"/>
      <c r="F352" s="165"/>
      <c r="G352" s="165"/>
      <c r="H352" s="126"/>
      <c r="I352" s="126"/>
      <c r="J352" s="166"/>
    </row>
    <row r="353" ht="7.5" customHeight="1">
      <c r="A353" s="126"/>
      <c r="B353" s="242"/>
      <c r="C353" s="242"/>
      <c r="D353" s="242"/>
      <c r="E353" s="165"/>
      <c r="F353" s="165"/>
      <c r="G353" s="165"/>
      <c r="H353" s="126"/>
      <c r="I353" s="126"/>
      <c r="J353" s="166"/>
    </row>
    <row r="354" ht="7.5" customHeight="1">
      <c r="A354" s="126"/>
      <c r="B354" s="242"/>
      <c r="C354" s="242"/>
      <c r="D354" s="242"/>
      <c r="E354" s="165"/>
      <c r="F354" s="165"/>
      <c r="G354" s="165"/>
      <c r="H354" s="126"/>
      <c r="I354" s="126"/>
      <c r="J354" s="166"/>
    </row>
    <row r="355" ht="7.5" customHeight="1">
      <c r="A355" s="126"/>
      <c r="B355" s="242"/>
      <c r="C355" s="242"/>
      <c r="D355" s="242"/>
      <c r="E355" s="165"/>
      <c r="F355" s="165"/>
      <c r="G355" s="165"/>
      <c r="H355" s="126"/>
      <c r="I355" s="126"/>
      <c r="J355" s="166"/>
    </row>
    <row r="356" ht="7.5" customHeight="1">
      <c r="A356" s="126"/>
      <c r="B356" s="242"/>
      <c r="C356" s="242"/>
      <c r="D356" s="242"/>
      <c r="E356" s="165"/>
      <c r="F356" s="165"/>
      <c r="G356" s="165"/>
      <c r="H356" s="126"/>
      <c r="I356" s="126"/>
      <c r="J356" s="166"/>
    </row>
    <row r="357" ht="7.5" customHeight="1">
      <c r="A357" s="126"/>
      <c r="B357" s="242"/>
      <c r="C357" s="242"/>
      <c r="D357" s="242"/>
      <c r="E357" s="165"/>
      <c r="F357" s="165"/>
      <c r="G357" s="165"/>
      <c r="H357" s="126"/>
      <c r="I357" s="126"/>
      <c r="J357" s="166"/>
    </row>
    <row r="358" ht="7.5" customHeight="1">
      <c r="A358" s="126"/>
      <c r="B358" s="242"/>
      <c r="C358" s="242"/>
      <c r="D358" s="242"/>
      <c r="E358" s="165"/>
      <c r="F358" s="165"/>
      <c r="G358" s="165"/>
      <c r="H358" s="126"/>
      <c r="I358" s="126"/>
      <c r="J358" s="166"/>
    </row>
    <row r="359" ht="7.5" customHeight="1">
      <c r="A359" s="126"/>
      <c r="B359" s="242"/>
      <c r="C359" s="242"/>
      <c r="D359" s="242"/>
      <c r="E359" s="165"/>
      <c r="F359" s="165"/>
      <c r="G359" s="165"/>
      <c r="H359" s="126"/>
      <c r="I359" s="126"/>
      <c r="J359" s="166"/>
    </row>
    <row r="360" ht="7.5" customHeight="1">
      <c r="A360" s="126"/>
      <c r="B360" s="242"/>
      <c r="C360" s="242"/>
      <c r="D360" s="242"/>
      <c r="E360" s="165"/>
      <c r="F360" s="165"/>
      <c r="G360" s="165"/>
      <c r="H360" s="126"/>
      <c r="I360" s="126"/>
      <c r="J360" s="166"/>
    </row>
    <row r="361" ht="7.5" customHeight="1">
      <c r="A361" s="126"/>
      <c r="B361" s="242"/>
      <c r="C361" s="242"/>
      <c r="D361" s="242"/>
      <c r="E361" s="165"/>
      <c r="F361" s="165"/>
      <c r="G361" s="165"/>
      <c r="H361" s="126"/>
      <c r="I361" s="126"/>
      <c r="J361" s="166"/>
    </row>
    <row r="362" ht="7.5" customHeight="1">
      <c r="A362" s="126"/>
      <c r="B362" s="242"/>
      <c r="C362" s="242"/>
      <c r="D362" s="242"/>
      <c r="E362" s="165"/>
      <c r="F362" s="165"/>
      <c r="G362" s="165"/>
      <c r="H362" s="126"/>
      <c r="I362" s="126"/>
      <c r="J362" s="166"/>
    </row>
    <row r="363" ht="7.5" customHeight="1">
      <c r="A363" s="126"/>
      <c r="B363" s="242"/>
      <c r="C363" s="242"/>
      <c r="D363" s="242"/>
      <c r="E363" s="165"/>
      <c r="F363" s="165"/>
      <c r="G363" s="165"/>
      <c r="H363" s="126"/>
      <c r="I363" s="126"/>
      <c r="J363" s="166"/>
    </row>
    <row r="364" ht="7.5" customHeight="1">
      <c r="A364" s="126"/>
      <c r="B364" s="242"/>
      <c r="C364" s="242"/>
      <c r="D364" s="242"/>
      <c r="E364" s="165"/>
      <c r="F364" s="165"/>
      <c r="G364" s="165"/>
      <c r="H364" s="126"/>
      <c r="I364" s="126"/>
      <c r="J364" s="166"/>
    </row>
    <row r="365" ht="7.5" customHeight="1">
      <c r="A365" s="126"/>
      <c r="B365" s="242"/>
      <c r="C365" s="242"/>
      <c r="D365" s="242"/>
      <c r="E365" s="165"/>
      <c r="F365" s="165"/>
      <c r="G365" s="165"/>
      <c r="H365" s="126"/>
      <c r="I365" s="126"/>
      <c r="J365" s="166"/>
    </row>
    <row r="366" ht="7.5" customHeight="1">
      <c r="A366" s="126"/>
      <c r="B366" s="242"/>
      <c r="C366" s="242"/>
      <c r="D366" s="242"/>
      <c r="E366" s="165"/>
      <c r="F366" s="165"/>
      <c r="G366" s="165"/>
      <c r="H366" s="126"/>
      <c r="I366" s="126"/>
      <c r="J366" s="166"/>
    </row>
    <row r="367" ht="7.5" customHeight="1">
      <c r="A367" s="126"/>
      <c r="B367" s="242"/>
      <c r="C367" s="242"/>
      <c r="D367" s="242"/>
      <c r="E367" s="165"/>
      <c r="F367" s="165"/>
      <c r="G367" s="165"/>
      <c r="H367" s="126"/>
      <c r="I367" s="126"/>
      <c r="J367" s="166"/>
    </row>
    <row r="368" ht="7.5" customHeight="1">
      <c r="A368" s="126"/>
      <c r="B368" s="242"/>
      <c r="C368" s="242"/>
      <c r="D368" s="242"/>
      <c r="E368" s="165"/>
      <c r="F368" s="165"/>
      <c r="G368" s="165"/>
      <c r="H368" s="126"/>
      <c r="I368" s="126"/>
      <c r="J368" s="166"/>
    </row>
    <row r="369" ht="7.5" customHeight="1">
      <c r="A369" s="126"/>
      <c r="B369" s="242"/>
      <c r="C369" s="242"/>
      <c r="D369" s="242"/>
      <c r="E369" s="165"/>
      <c r="F369" s="165"/>
      <c r="G369" s="165"/>
      <c r="H369" s="126"/>
      <c r="I369" s="126"/>
      <c r="J369" s="166"/>
    </row>
    <row r="370" ht="7.5" customHeight="1">
      <c r="A370" s="126"/>
      <c r="B370" s="242"/>
      <c r="C370" s="242"/>
      <c r="D370" s="242"/>
      <c r="E370" s="165"/>
      <c r="F370" s="165"/>
      <c r="G370" s="165"/>
      <c r="H370" s="126"/>
      <c r="I370" s="126"/>
      <c r="J370" s="166"/>
    </row>
    <row r="371" ht="7.5" customHeight="1">
      <c r="A371" s="126"/>
      <c r="B371" s="242"/>
      <c r="C371" s="242"/>
      <c r="D371" s="242"/>
      <c r="E371" s="165"/>
      <c r="F371" s="165"/>
      <c r="G371" s="165"/>
      <c r="H371" s="126"/>
      <c r="I371" s="126"/>
      <c r="J371" s="166"/>
    </row>
    <row r="372" ht="7.5" customHeight="1">
      <c r="A372" s="126"/>
      <c r="B372" s="242"/>
      <c r="C372" s="242"/>
      <c r="D372" s="242"/>
      <c r="E372" s="165"/>
      <c r="F372" s="165"/>
      <c r="G372" s="165"/>
      <c r="H372" s="126"/>
      <c r="I372" s="126"/>
      <c r="J372" s="166"/>
    </row>
    <row r="373" ht="7.5" customHeight="1">
      <c r="A373" s="126"/>
      <c r="B373" s="242"/>
      <c r="C373" s="242"/>
      <c r="D373" s="242"/>
      <c r="E373" s="165"/>
      <c r="F373" s="165"/>
      <c r="G373" s="165"/>
      <c r="H373" s="126"/>
      <c r="I373" s="126"/>
      <c r="J373" s="166"/>
    </row>
    <row r="374" ht="7.5" customHeight="1">
      <c r="A374" s="126"/>
      <c r="B374" s="242"/>
      <c r="C374" s="242"/>
      <c r="D374" s="242"/>
      <c r="E374" s="165"/>
      <c r="F374" s="165"/>
      <c r="G374" s="165"/>
      <c r="H374" s="126"/>
      <c r="I374" s="126"/>
      <c r="J374" s="166"/>
    </row>
    <row r="375" ht="7.5" customHeight="1">
      <c r="A375" s="126"/>
      <c r="B375" s="242"/>
      <c r="C375" s="242"/>
      <c r="D375" s="242"/>
      <c r="E375" s="165"/>
      <c r="F375" s="165"/>
      <c r="G375" s="165"/>
      <c r="H375" s="126"/>
      <c r="I375" s="126"/>
      <c r="J375" s="166"/>
    </row>
    <row r="376" ht="7.5" customHeight="1">
      <c r="A376" s="126"/>
      <c r="B376" s="242"/>
      <c r="C376" s="242"/>
      <c r="D376" s="242"/>
      <c r="E376" s="165"/>
      <c r="F376" s="165"/>
      <c r="G376" s="165"/>
      <c r="H376" s="126"/>
      <c r="I376" s="126"/>
      <c r="J376" s="166"/>
    </row>
    <row r="377" ht="7.5" customHeight="1">
      <c r="A377" s="126"/>
      <c r="B377" s="242"/>
      <c r="C377" s="242"/>
      <c r="D377" s="242"/>
      <c r="E377" s="165"/>
      <c r="F377" s="165"/>
      <c r="G377" s="165"/>
      <c r="H377" s="126"/>
      <c r="I377" s="126"/>
      <c r="J377" s="166"/>
    </row>
    <row r="378" ht="7.5" customHeight="1">
      <c r="A378" s="126"/>
      <c r="B378" s="242"/>
      <c r="C378" s="242"/>
      <c r="D378" s="242"/>
      <c r="E378" s="165"/>
      <c r="F378" s="165"/>
      <c r="G378" s="165"/>
      <c r="H378" s="126"/>
      <c r="I378" s="126"/>
      <c r="J378" s="166"/>
    </row>
    <row r="379" ht="7.5" customHeight="1">
      <c r="A379" s="126"/>
      <c r="B379" s="242"/>
      <c r="C379" s="242"/>
      <c r="D379" s="242"/>
      <c r="E379" s="165"/>
      <c r="F379" s="165"/>
      <c r="G379" s="165"/>
      <c r="H379" s="126"/>
      <c r="I379" s="126"/>
      <c r="J379" s="166"/>
    </row>
    <row r="380" ht="7.5" customHeight="1">
      <c r="A380" s="126"/>
      <c r="B380" s="242"/>
      <c r="C380" s="242"/>
      <c r="D380" s="242"/>
      <c r="E380" s="165"/>
      <c r="F380" s="165"/>
      <c r="G380" s="165"/>
      <c r="H380" s="126"/>
      <c r="I380" s="126"/>
      <c r="J380" s="166"/>
    </row>
    <row r="381" ht="7.5" customHeight="1">
      <c r="A381" s="126"/>
      <c r="B381" s="242"/>
      <c r="C381" s="242"/>
      <c r="D381" s="242"/>
      <c r="E381" s="165"/>
      <c r="F381" s="165"/>
      <c r="G381" s="165"/>
      <c r="H381" s="126"/>
      <c r="I381" s="126"/>
      <c r="J381" s="166"/>
    </row>
    <row r="382" ht="7.5" customHeight="1">
      <c r="A382" s="126"/>
      <c r="B382" s="242"/>
      <c r="C382" s="242"/>
      <c r="D382" s="242"/>
      <c r="E382" s="165"/>
      <c r="F382" s="165"/>
      <c r="G382" s="165"/>
      <c r="H382" s="126"/>
      <c r="I382" s="126"/>
      <c r="J382" s="166"/>
    </row>
    <row r="383" ht="7.5" customHeight="1">
      <c r="A383" s="126"/>
      <c r="B383" s="242"/>
      <c r="C383" s="242"/>
      <c r="D383" s="242"/>
      <c r="E383" s="165"/>
      <c r="F383" s="165"/>
      <c r="G383" s="165"/>
      <c r="H383" s="126"/>
      <c r="I383" s="126"/>
      <c r="J383" s="166"/>
    </row>
    <row r="384" ht="7.5" customHeight="1">
      <c r="A384" s="126"/>
      <c r="B384" s="242"/>
      <c r="C384" s="242"/>
      <c r="D384" s="242"/>
      <c r="E384" s="165"/>
      <c r="F384" s="165"/>
      <c r="G384" s="165"/>
      <c r="H384" s="126"/>
      <c r="I384" s="126"/>
      <c r="J384" s="166"/>
    </row>
    <row r="385" ht="7.5" customHeight="1">
      <c r="A385" s="126"/>
      <c r="B385" s="242"/>
      <c r="C385" s="242"/>
      <c r="D385" s="242"/>
      <c r="E385" s="165"/>
      <c r="F385" s="165"/>
      <c r="G385" s="165"/>
      <c r="H385" s="126"/>
      <c r="I385" s="126"/>
      <c r="J385" s="166"/>
    </row>
    <row r="386" ht="7.5" customHeight="1">
      <c r="A386" s="126"/>
      <c r="B386" s="242"/>
      <c r="C386" s="242"/>
      <c r="D386" s="242"/>
      <c r="E386" s="165"/>
      <c r="F386" s="165"/>
      <c r="G386" s="165"/>
      <c r="H386" s="126"/>
      <c r="I386" s="126"/>
      <c r="J386" s="166"/>
    </row>
    <row r="387" ht="7.5" customHeight="1">
      <c r="A387" s="126"/>
      <c r="B387" s="242"/>
      <c r="C387" s="242"/>
      <c r="D387" s="242"/>
      <c r="E387" s="165"/>
      <c r="F387" s="165"/>
      <c r="G387" s="165"/>
      <c r="H387" s="126"/>
      <c r="I387" s="126"/>
      <c r="J387" s="166"/>
    </row>
    <row r="388" ht="7.5" customHeight="1">
      <c r="A388" s="126"/>
      <c r="B388" s="242"/>
      <c r="C388" s="242"/>
      <c r="D388" s="242"/>
      <c r="E388" s="165"/>
      <c r="F388" s="165"/>
      <c r="G388" s="165"/>
      <c r="H388" s="126"/>
      <c r="I388" s="126"/>
      <c r="J388" s="166"/>
    </row>
    <row r="389" ht="7.5" customHeight="1">
      <c r="A389" s="126"/>
      <c r="B389" s="242"/>
      <c r="C389" s="242"/>
      <c r="D389" s="242"/>
      <c r="E389" s="165"/>
      <c r="F389" s="165"/>
      <c r="G389" s="165"/>
      <c r="H389" s="126"/>
      <c r="I389" s="126"/>
      <c r="J389" s="166"/>
    </row>
    <row r="390" ht="7.5" customHeight="1">
      <c r="A390" s="126"/>
      <c r="B390" s="242"/>
      <c r="C390" s="242"/>
      <c r="D390" s="242"/>
      <c r="E390" s="165"/>
      <c r="F390" s="165"/>
      <c r="G390" s="165"/>
      <c r="H390" s="126"/>
      <c r="I390" s="126"/>
      <c r="J390" s="166"/>
    </row>
    <row r="391" ht="7.5" customHeight="1">
      <c r="A391" s="126"/>
      <c r="B391" s="242"/>
      <c r="C391" s="242"/>
      <c r="D391" s="242"/>
      <c r="E391" s="165"/>
      <c r="F391" s="165"/>
      <c r="G391" s="165"/>
      <c r="H391" s="126"/>
      <c r="I391" s="126"/>
      <c r="J391" s="166"/>
    </row>
    <row r="392" ht="7.5" customHeight="1">
      <c r="A392" s="126"/>
      <c r="B392" s="242"/>
      <c r="C392" s="242"/>
      <c r="D392" s="242"/>
      <c r="E392" s="165"/>
      <c r="F392" s="165"/>
      <c r="G392" s="165"/>
      <c r="H392" s="126"/>
      <c r="I392" s="126"/>
      <c r="J392" s="166"/>
    </row>
    <row r="393" ht="7.5" customHeight="1">
      <c r="A393" s="126"/>
      <c r="B393" s="242"/>
      <c r="C393" s="242"/>
      <c r="D393" s="242"/>
      <c r="E393" s="165"/>
      <c r="F393" s="165"/>
      <c r="G393" s="165"/>
      <c r="H393" s="126"/>
      <c r="I393" s="126"/>
      <c r="J393" s="166"/>
    </row>
    <row r="394" ht="7.5" customHeight="1">
      <c r="A394" s="126"/>
      <c r="B394" s="242"/>
      <c r="C394" s="242"/>
      <c r="D394" s="242"/>
      <c r="E394" s="165"/>
      <c r="F394" s="165"/>
      <c r="G394" s="165"/>
      <c r="H394" s="126"/>
      <c r="I394" s="126"/>
      <c r="J394" s="166"/>
    </row>
    <row r="395" ht="7.5" customHeight="1">
      <c r="A395" s="126"/>
      <c r="B395" s="242"/>
      <c r="C395" s="242"/>
      <c r="D395" s="242"/>
      <c r="E395" s="165"/>
      <c r="F395" s="165"/>
      <c r="G395" s="165"/>
      <c r="H395" s="126"/>
      <c r="I395" s="126"/>
      <c r="J395" s="166"/>
    </row>
    <row r="396" ht="7.5" customHeight="1">
      <c r="A396" s="126"/>
      <c r="B396" s="242"/>
      <c r="C396" s="242"/>
      <c r="D396" s="242"/>
      <c r="E396" s="165"/>
      <c r="F396" s="165"/>
      <c r="G396" s="165"/>
      <c r="H396" s="126"/>
      <c r="I396" s="126"/>
      <c r="J396" s="166"/>
    </row>
    <row r="397" ht="7.5" customHeight="1">
      <c r="A397" s="126"/>
      <c r="B397" s="242"/>
      <c r="C397" s="242"/>
      <c r="D397" s="242"/>
      <c r="E397" s="165"/>
      <c r="F397" s="165"/>
      <c r="G397" s="165"/>
      <c r="H397" s="126"/>
      <c r="I397" s="126"/>
      <c r="J397" s="166"/>
    </row>
    <row r="398" ht="7.5" customHeight="1">
      <c r="A398" s="126"/>
      <c r="B398" s="242"/>
      <c r="C398" s="242"/>
      <c r="D398" s="242"/>
      <c r="E398" s="165"/>
      <c r="F398" s="165"/>
      <c r="G398" s="165"/>
      <c r="H398" s="126"/>
      <c r="I398" s="126"/>
      <c r="J398" s="166"/>
    </row>
    <row r="399" ht="7.5" customHeight="1">
      <c r="A399" s="126"/>
      <c r="B399" s="242"/>
      <c r="C399" s="242"/>
      <c r="D399" s="242"/>
      <c r="E399" s="165"/>
      <c r="F399" s="165"/>
      <c r="G399" s="165"/>
      <c r="H399" s="126"/>
      <c r="I399" s="126"/>
      <c r="J399" s="166"/>
    </row>
    <row r="400" ht="7.5" customHeight="1">
      <c r="A400" s="126"/>
      <c r="B400" s="242"/>
      <c r="C400" s="242"/>
      <c r="D400" s="242"/>
      <c r="E400" s="165"/>
      <c r="F400" s="165"/>
      <c r="G400" s="165"/>
      <c r="H400" s="126"/>
      <c r="I400" s="126"/>
      <c r="J400" s="166"/>
    </row>
    <row r="401" ht="7.5" customHeight="1">
      <c r="A401" s="126"/>
      <c r="B401" s="242"/>
      <c r="C401" s="242"/>
      <c r="D401" s="242"/>
      <c r="E401" s="165"/>
      <c r="F401" s="165"/>
      <c r="G401" s="165"/>
      <c r="H401" s="126"/>
      <c r="I401" s="126"/>
      <c r="J401" s="166"/>
    </row>
    <row r="402" ht="7.5" customHeight="1">
      <c r="A402" s="126"/>
      <c r="B402" s="242"/>
      <c r="C402" s="242"/>
      <c r="D402" s="242"/>
      <c r="E402" s="165"/>
      <c r="F402" s="165"/>
      <c r="G402" s="165"/>
      <c r="H402" s="126"/>
      <c r="I402" s="126"/>
      <c r="J402" s="166"/>
    </row>
    <row r="403" ht="7.5" customHeight="1">
      <c r="A403" s="126"/>
      <c r="B403" s="242"/>
      <c r="C403" s="242"/>
      <c r="D403" s="242"/>
      <c r="E403" s="165"/>
      <c r="F403" s="165"/>
      <c r="G403" s="165"/>
      <c r="H403" s="126"/>
      <c r="I403" s="126"/>
      <c r="J403" s="166"/>
    </row>
    <row r="404" ht="7.5" customHeight="1">
      <c r="A404" s="126"/>
      <c r="B404" s="242"/>
      <c r="C404" s="242"/>
      <c r="D404" s="242"/>
      <c r="E404" s="165"/>
      <c r="F404" s="165"/>
      <c r="G404" s="165"/>
      <c r="H404" s="126"/>
      <c r="I404" s="126"/>
      <c r="J404" s="166"/>
    </row>
    <row r="405" ht="7.5" customHeight="1">
      <c r="A405" s="126"/>
      <c r="B405" s="242"/>
      <c r="C405" s="242"/>
      <c r="D405" s="242"/>
      <c r="E405" s="165"/>
      <c r="F405" s="165"/>
      <c r="G405" s="165"/>
      <c r="H405" s="126"/>
      <c r="I405" s="126"/>
      <c r="J405" s="166"/>
    </row>
    <row r="406" ht="7.5" customHeight="1">
      <c r="A406" s="126"/>
      <c r="B406" s="242"/>
      <c r="C406" s="242"/>
      <c r="D406" s="242"/>
      <c r="E406" s="165"/>
      <c r="F406" s="165"/>
      <c r="G406" s="165"/>
      <c r="H406" s="126"/>
      <c r="I406" s="126"/>
      <c r="J406" s="166"/>
    </row>
    <row r="407" ht="7.5" customHeight="1">
      <c r="A407" s="126"/>
      <c r="B407" s="242"/>
      <c r="C407" s="242"/>
      <c r="D407" s="242"/>
      <c r="E407" s="165"/>
      <c r="F407" s="165"/>
      <c r="G407" s="165"/>
      <c r="H407" s="126"/>
      <c r="I407" s="126"/>
      <c r="J407" s="166"/>
    </row>
    <row r="408" ht="7.5" customHeight="1">
      <c r="A408" s="126"/>
      <c r="B408" s="242"/>
      <c r="C408" s="242"/>
      <c r="D408" s="242"/>
      <c r="E408" s="165"/>
      <c r="F408" s="165"/>
      <c r="G408" s="165"/>
      <c r="H408" s="126"/>
      <c r="I408" s="126"/>
      <c r="J408" s="166"/>
    </row>
    <row r="409" ht="7.5" customHeight="1">
      <c r="A409" s="126"/>
      <c r="B409" s="242"/>
      <c r="C409" s="242"/>
      <c r="D409" s="242"/>
      <c r="E409" s="165"/>
      <c r="F409" s="165"/>
      <c r="G409" s="165"/>
      <c r="H409" s="126"/>
      <c r="I409" s="126"/>
      <c r="J409" s="166"/>
    </row>
    <row r="410" ht="7.5" customHeight="1">
      <c r="A410" s="126"/>
      <c r="B410" s="242"/>
      <c r="C410" s="242"/>
      <c r="D410" s="242"/>
      <c r="E410" s="165"/>
      <c r="F410" s="165"/>
      <c r="G410" s="165"/>
      <c r="H410" s="126"/>
      <c r="I410" s="126"/>
      <c r="J410" s="166"/>
    </row>
    <row r="411" ht="7.5" customHeight="1">
      <c r="A411" s="126"/>
      <c r="B411" s="242"/>
      <c r="C411" s="242"/>
      <c r="D411" s="242"/>
      <c r="E411" s="165"/>
      <c r="F411" s="165"/>
      <c r="G411" s="165"/>
      <c r="H411" s="126"/>
      <c r="I411" s="126"/>
      <c r="J411" s="166"/>
    </row>
    <row r="412" ht="7.5" customHeight="1">
      <c r="A412" s="126"/>
      <c r="B412" s="242"/>
      <c r="C412" s="242"/>
      <c r="D412" s="242"/>
      <c r="E412" s="165"/>
      <c r="F412" s="165"/>
      <c r="G412" s="165"/>
      <c r="H412" s="126"/>
      <c r="I412" s="126"/>
      <c r="J412" s="166"/>
    </row>
    <row r="413" ht="7.5" customHeight="1">
      <c r="A413" s="126"/>
      <c r="B413" s="242"/>
      <c r="C413" s="242"/>
      <c r="D413" s="242"/>
      <c r="E413" s="165"/>
      <c r="F413" s="165"/>
      <c r="G413" s="165"/>
      <c r="H413" s="126"/>
      <c r="I413" s="126"/>
      <c r="J413" s="166"/>
    </row>
    <row r="414" ht="7.5" customHeight="1">
      <c r="A414" s="126"/>
      <c r="B414" s="242"/>
      <c r="C414" s="242"/>
      <c r="D414" s="242"/>
      <c r="E414" s="165"/>
      <c r="F414" s="165"/>
      <c r="G414" s="165"/>
      <c r="H414" s="126"/>
      <c r="I414" s="126"/>
      <c r="J414" s="166"/>
    </row>
    <row r="415" ht="7.5" customHeight="1">
      <c r="A415" s="126"/>
      <c r="B415" s="242"/>
      <c r="C415" s="242"/>
      <c r="D415" s="242"/>
      <c r="E415" s="165"/>
      <c r="F415" s="165"/>
      <c r="G415" s="165"/>
      <c r="H415" s="126"/>
      <c r="I415" s="126"/>
      <c r="J415" s="166"/>
    </row>
    <row r="416" ht="7.5" customHeight="1">
      <c r="A416" s="126"/>
      <c r="B416" s="242"/>
      <c r="C416" s="242"/>
      <c r="D416" s="242"/>
      <c r="E416" s="165"/>
      <c r="F416" s="165"/>
      <c r="G416" s="165"/>
      <c r="H416" s="126"/>
      <c r="I416" s="126"/>
      <c r="J416" s="166"/>
    </row>
    <row r="417" ht="7.5" customHeight="1">
      <c r="A417" s="126"/>
      <c r="B417" s="242"/>
      <c r="C417" s="242"/>
      <c r="D417" s="242"/>
      <c r="E417" s="165"/>
      <c r="F417" s="165"/>
      <c r="G417" s="165"/>
      <c r="H417" s="126"/>
      <c r="I417" s="126"/>
      <c r="J417" s="166"/>
    </row>
    <row r="418" ht="7.5" customHeight="1">
      <c r="A418" s="126"/>
      <c r="B418" s="242"/>
      <c r="C418" s="242"/>
      <c r="D418" s="242"/>
      <c r="E418" s="165"/>
      <c r="F418" s="165"/>
      <c r="G418" s="165"/>
      <c r="H418" s="126"/>
      <c r="I418" s="126"/>
      <c r="J418" s="166"/>
    </row>
    <row r="419" ht="7.5" customHeight="1">
      <c r="A419" s="126"/>
      <c r="B419" s="242"/>
      <c r="C419" s="242"/>
      <c r="D419" s="242"/>
      <c r="E419" s="165"/>
      <c r="F419" s="165"/>
      <c r="G419" s="165"/>
      <c r="H419" s="126"/>
      <c r="I419" s="126"/>
      <c r="J419" s="166"/>
    </row>
    <row r="420" ht="7.5" customHeight="1">
      <c r="A420" s="126"/>
      <c r="B420" s="242"/>
      <c r="C420" s="242"/>
      <c r="D420" s="242"/>
      <c r="E420" s="165"/>
      <c r="F420" s="165"/>
      <c r="G420" s="165"/>
      <c r="H420" s="126"/>
      <c r="I420" s="126"/>
      <c r="J420" s="166"/>
    </row>
    <row r="421" ht="7.5" customHeight="1">
      <c r="A421" s="126"/>
      <c r="B421" s="242"/>
      <c r="C421" s="242"/>
      <c r="D421" s="242"/>
      <c r="E421" s="165"/>
      <c r="F421" s="165"/>
      <c r="G421" s="165"/>
      <c r="H421" s="126"/>
      <c r="I421" s="126"/>
      <c r="J421" s="166"/>
    </row>
    <row r="422" ht="7.5" customHeight="1">
      <c r="A422" s="126"/>
      <c r="B422" s="242"/>
      <c r="C422" s="242"/>
      <c r="D422" s="242"/>
      <c r="E422" s="165"/>
      <c r="F422" s="165"/>
      <c r="G422" s="165"/>
      <c r="H422" s="126"/>
      <c r="I422" s="126"/>
      <c r="J422" s="166"/>
    </row>
    <row r="423" ht="7.5" customHeight="1">
      <c r="A423" s="126"/>
      <c r="B423" s="242"/>
      <c r="C423" s="242"/>
      <c r="D423" s="242"/>
      <c r="E423" s="165"/>
      <c r="F423" s="165"/>
      <c r="G423" s="165"/>
      <c r="H423" s="126"/>
      <c r="I423" s="126"/>
      <c r="J423" s="166"/>
    </row>
    <row r="424" ht="7.5" customHeight="1">
      <c r="A424" s="126"/>
      <c r="B424" s="242"/>
      <c r="C424" s="242"/>
      <c r="D424" s="242"/>
      <c r="E424" s="165"/>
      <c r="F424" s="165"/>
      <c r="G424" s="165"/>
      <c r="H424" s="126"/>
      <c r="I424" s="126"/>
      <c r="J424" s="166"/>
    </row>
    <row r="425" ht="7.5" customHeight="1">
      <c r="A425" s="126"/>
      <c r="B425" s="242"/>
      <c r="C425" s="242"/>
      <c r="D425" s="242"/>
      <c r="E425" s="165"/>
      <c r="F425" s="165"/>
      <c r="G425" s="165"/>
      <c r="H425" s="126"/>
      <c r="I425" s="126"/>
      <c r="J425" s="166"/>
    </row>
    <row r="426" ht="7.5" customHeight="1">
      <c r="A426" s="126"/>
      <c r="B426" s="242"/>
      <c r="C426" s="242"/>
      <c r="D426" s="242"/>
      <c r="E426" s="165"/>
      <c r="F426" s="165"/>
      <c r="G426" s="165"/>
      <c r="H426" s="126"/>
      <c r="I426" s="126"/>
      <c r="J426" s="166"/>
    </row>
    <row r="427" ht="7.5" customHeight="1">
      <c r="A427" s="126"/>
      <c r="B427" s="242"/>
      <c r="C427" s="242"/>
      <c r="D427" s="242"/>
      <c r="E427" s="165"/>
      <c r="F427" s="165"/>
      <c r="G427" s="165"/>
      <c r="H427" s="126"/>
      <c r="I427" s="126"/>
      <c r="J427" s="166"/>
    </row>
    <row r="428" ht="7.5" customHeight="1">
      <c r="A428" s="126"/>
      <c r="B428" s="242"/>
      <c r="C428" s="242"/>
      <c r="D428" s="242"/>
      <c r="E428" s="165"/>
      <c r="F428" s="165"/>
      <c r="G428" s="165"/>
      <c r="H428" s="126"/>
      <c r="I428" s="126"/>
      <c r="J428" s="166"/>
    </row>
    <row r="429" ht="7.5" customHeight="1">
      <c r="A429" s="126"/>
      <c r="B429" s="242"/>
      <c r="C429" s="242"/>
      <c r="D429" s="242"/>
      <c r="E429" s="165"/>
      <c r="F429" s="165"/>
      <c r="G429" s="165"/>
      <c r="H429" s="126"/>
      <c r="I429" s="126"/>
      <c r="J429" s="166"/>
    </row>
    <row r="430" ht="7.5" customHeight="1">
      <c r="A430" s="126"/>
      <c r="B430" s="242"/>
      <c r="C430" s="242"/>
      <c r="D430" s="242"/>
      <c r="E430" s="165"/>
      <c r="F430" s="165"/>
      <c r="G430" s="165"/>
      <c r="H430" s="126"/>
      <c r="I430" s="126"/>
      <c r="J430" s="166"/>
    </row>
    <row r="431" ht="7.5" customHeight="1">
      <c r="A431" s="126"/>
      <c r="B431" s="242"/>
      <c r="C431" s="242"/>
      <c r="D431" s="242"/>
      <c r="E431" s="165"/>
      <c r="F431" s="165"/>
      <c r="G431" s="165"/>
      <c r="H431" s="126"/>
      <c r="I431" s="126"/>
      <c r="J431" s="166"/>
    </row>
    <row r="432" ht="7.5" customHeight="1">
      <c r="A432" s="126"/>
      <c r="B432" s="242"/>
      <c r="C432" s="242"/>
      <c r="D432" s="242"/>
      <c r="E432" s="165"/>
      <c r="F432" s="165"/>
      <c r="G432" s="165"/>
      <c r="H432" s="126"/>
      <c r="I432" s="126"/>
      <c r="J432" s="166"/>
    </row>
    <row r="433" ht="7.5" customHeight="1">
      <c r="A433" s="126"/>
      <c r="B433" s="242"/>
      <c r="C433" s="242"/>
      <c r="D433" s="242"/>
      <c r="E433" s="165"/>
      <c r="F433" s="165"/>
      <c r="G433" s="165"/>
      <c r="H433" s="126"/>
      <c r="I433" s="126"/>
      <c r="J433" s="166"/>
    </row>
    <row r="434" ht="7.5" customHeight="1">
      <c r="A434" s="126"/>
      <c r="B434" s="242"/>
      <c r="C434" s="242"/>
      <c r="D434" s="242"/>
      <c r="E434" s="165"/>
      <c r="F434" s="165"/>
      <c r="G434" s="165"/>
      <c r="H434" s="126"/>
      <c r="I434" s="126"/>
      <c r="J434" s="166"/>
    </row>
    <row r="435" ht="7.5" customHeight="1">
      <c r="A435" s="126"/>
      <c r="B435" s="242"/>
      <c r="C435" s="242"/>
      <c r="D435" s="242"/>
      <c r="E435" s="165"/>
      <c r="F435" s="165"/>
      <c r="G435" s="165"/>
      <c r="H435" s="126"/>
      <c r="I435" s="126"/>
      <c r="J435" s="166"/>
    </row>
    <row r="436" ht="7.5" customHeight="1">
      <c r="A436" s="126"/>
      <c r="B436" s="242"/>
      <c r="C436" s="242"/>
      <c r="D436" s="242"/>
      <c r="E436" s="165"/>
      <c r="F436" s="165"/>
      <c r="G436" s="165"/>
      <c r="H436" s="126"/>
      <c r="I436" s="126"/>
      <c r="J436" s="166"/>
    </row>
    <row r="437" ht="7.5" customHeight="1">
      <c r="A437" s="126"/>
      <c r="B437" s="242"/>
      <c r="C437" s="242"/>
      <c r="D437" s="242"/>
      <c r="E437" s="165"/>
      <c r="F437" s="165"/>
      <c r="G437" s="165"/>
      <c r="H437" s="126"/>
      <c r="I437" s="126"/>
      <c r="J437" s="166"/>
    </row>
    <row r="438" ht="7.5" customHeight="1">
      <c r="A438" s="126"/>
      <c r="B438" s="242"/>
      <c r="C438" s="242"/>
      <c r="D438" s="242"/>
      <c r="E438" s="165"/>
      <c r="F438" s="165"/>
      <c r="G438" s="165"/>
      <c r="H438" s="126"/>
      <c r="I438" s="126"/>
      <c r="J438" s="166"/>
    </row>
    <row r="439" ht="7.5" customHeight="1">
      <c r="A439" s="126"/>
      <c r="B439" s="242"/>
      <c r="C439" s="242"/>
      <c r="D439" s="242"/>
      <c r="E439" s="165"/>
      <c r="F439" s="165"/>
      <c r="G439" s="165"/>
      <c r="H439" s="126"/>
      <c r="I439" s="126"/>
      <c r="J439" s="166"/>
    </row>
    <row r="440" ht="7.5" customHeight="1">
      <c r="A440" s="126"/>
      <c r="B440" s="242"/>
      <c r="C440" s="242"/>
      <c r="D440" s="242"/>
      <c r="E440" s="165"/>
      <c r="F440" s="165"/>
      <c r="G440" s="165"/>
      <c r="H440" s="126"/>
      <c r="I440" s="126"/>
      <c r="J440" s="166"/>
    </row>
    <row r="441" ht="7.5" customHeight="1">
      <c r="A441" s="126"/>
      <c r="B441" s="242"/>
      <c r="C441" s="242"/>
      <c r="D441" s="242"/>
      <c r="E441" s="165"/>
      <c r="F441" s="165"/>
      <c r="G441" s="165"/>
      <c r="H441" s="126"/>
      <c r="I441" s="126"/>
      <c r="J441" s="166"/>
    </row>
    <row r="442" ht="7.5" customHeight="1">
      <c r="A442" s="126"/>
      <c r="B442" s="242"/>
      <c r="C442" s="242"/>
      <c r="D442" s="242"/>
      <c r="E442" s="165"/>
      <c r="F442" s="165"/>
      <c r="G442" s="165"/>
      <c r="H442" s="126"/>
      <c r="I442" s="126"/>
      <c r="J442" s="166"/>
    </row>
    <row r="443" ht="7.5" customHeight="1">
      <c r="A443" s="126"/>
      <c r="B443" s="242"/>
      <c r="C443" s="242"/>
      <c r="D443" s="242"/>
      <c r="E443" s="165"/>
      <c r="F443" s="165"/>
      <c r="G443" s="165"/>
      <c r="H443" s="126"/>
      <c r="I443" s="126"/>
      <c r="J443" s="166"/>
    </row>
    <row r="444" ht="7.5" customHeight="1">
      <c r="A444" s="126"/>
      <c r="B444" s="242"/>
      <c r="C444" s="242"/>
      <c r="D444" s="242"/>
      <c r="E444" s="165"/>
      <c r="F444" s="165"/>
      <c r="G444" s="165"/>
      <c r="H444" s="126"/>
      <c r="I444" s="126"/>
      <c r="J444" s="166"/>
    </row>
    <row r="445" ht="7.5" customHeight="1">
      <c r="A445" s="126"/>
      <c r="B445" s="242"/>
      <c r="C445" s="242"/>
      <c r="D445" s="242"/>
      <c r="E445" s="165"/>
      <c r="F445" s="165"/>
      <c r="G445" s="165"/>
      <c r="H445" s="126"/>
      <c r="I445" s="126"/>
      <c r="J445" s="166"/>
    </row>
    <row r="446" ht="7.5" customHeight="1">
      <c r="A446" s="126"/>
      <c r="B446" s="242"/>
      <c r="C446" s="242"/>
      <c r="D446" s="242"/>
      <c r="E446" s="165"/>
      <c r="F446" s="165"/>
      <c r="G446" s="165"/>
      <c r="H446" s="126"/>
      <c r="I446" s="126"/>
      <c r="J446" s="166"/>
    </row>
    <row r="447" ht="7.5" customHeight="1">
      <c r="A447" s="126"/>
      <c r="B447" s="242"/>
      <c r="C447" s="242"/>
      <c r="D447" s="242"/>
      <c r="E447" s="165"/>
      <c r="F447" s="165"/>
      <c r="G447" s="165"/>
      <c r="H447" s="126"/>
      <c r="I447" s="126"/>
      <c r="J447" s="166"/>
    </row>
    <row r="448" ht="7.5" customHeight="1">
      <c r="A448" s="126"/>
      <c r="B448" s="242"/>
      <c r="C448" s="242"/>
      <c r="D448" s="242"/>
      <c r="E448" s="165"/>
      <c r="F448" s="165"/>
      <c r="G448" s="165"/>
      <c r="H448" s="126"/>
      <c r="I448" s="126"/>
      <c r="J448" s="166"/>
    </row>
    <row r="449" ht="7.5" customHeight="1">
      <c r="A449" s="126"/>
      <c r="B449" s="242"/>
      <c r="C449" s="242"/>
      <c r="D449" s="242"/>
      <c r="E449" s="165"/>
      <c r="F449" s="165"/>
      <c r="G449" s="165"/>
      <c r="H449" s="126"/>
      <c r="I449" s="126"/>
      <c r="J449" s="166"/>
    </row>
    <row r="450" ht="7.5" customHeight="1">
      <c r="A450" s="126"/>
      <c r="B450" s="242"/>
      <c r="C450" s="242"/>
      <c r="D450" s="242"/>
      <c r="E450" s="165"/>
      <c r="F450" s="165"/>
      <c r="G450" s="165"/>
      <c r="H450" s="126"/>
      <c r="I450" s="126"/>
      <c r="J450" s="166"/>
    </row>
    <row r="451" ht="7.5" customHeight="1">
      <c r="A451" s="126"/>
      <c r="B451" s="242"/>
      <c r="C451" s="242"/>
      <c r="D451" s="242"/>
      <c r="E451" s="165"/>
      <c r="F451" s="165"/>
      <c r="G451" s="165"/>
      <c r="H451" s="126"/>
      <c r="I451" s="126"/>
      <c r="J451" s="166"/>
    </row>
    <row r="452" ht="7.5" customHeight="1">
      <c r="A452" s="126"/>
      <c r="B452" s="242"/>
      <c r="C452" s="242"/>
      <c r="D452" s="242"/>
      <c r="E452" s="165"/>
      <c r="F452" s="165"/>
      <c r="G452" s="165"/>
      <c r="H452" s="126"/>
      <c r="I452" s="126"/>
      <c r="J452" s="166"/>
    </row>
    <row r="453" ht="7.5" customHeight="1">
      <c r="A453" s="126"/>
      <c r="B453" s="242"/>
      <c r="C453" s="242"/>
      <c r="D453" s="242"/>
      <c r="E453" s="165"/>
      <c r="F453" s="165"/>
      <c r="G453" s="165"/>
      <c r="H453" s="126"/>
      <c r="I453" s="126"/>
      <c r="J453" s="166"/>
    </row>
    <row r="454" ht="7.5" customHeight="1">
      <c r="A454" s="126"/>
      <c r="B454" s="242"/>
      <c r="C454" s="242"/>
      <c r="D454" s="242"/>
      <c r="E454" s="165"/>
      <c r="F454" s="165"/>
      <c r="G454" s="165"/>
      <c r="H454" s="126"/>
      <c r="I454" s="126"/>
      <c r="J454" s="166"/>
    </row>
    <row r="455" ht="7.5" customHeight="1">
      <c r="A455" s="126"/>
      <c r="B455" s="242"/>
      <c r="C455" s="242"/>
      <c r="D455" s="242"/>
      <c r="E455" s="165"/>
      <c r="F455" s="165"/>
      <c r="G455" s="165"/>
      <c r="H455" s="126"/>
      <c r="I455" s="126"/>
      <c r="J455" s="166"/>
    </row>
    <row r="456" ht="7.5" customHeight="1">
      <c r="A456" s="126"/>
      <c r="B456" s="242"/>
      <c r="C456" s="242"/>
      <c r="D456" s="242"/>
      <c r="E456" s="165"/>
      <c r="F456" s="165"/>
      <c r="G456" s="165"/>
      <c r="H456" s="126"/>
      <c r="I456" s="126"/>
      <c r="J456" s="166"/>
    </row>
    <row r="457" ht="7.5" customHeight="1">
      <c r="A457" s="126"/>
      <c r="B457" s="242"/>
      <c r="C457" s="242"/>
      <c r="D457" s="242"/>
      <c r="E457" s="165"/>
      <c r="F457" s="165"/>
      <c r="G457" s="165"/>
      <c r="H457" s="126"/>
      <c r="I457" s="126"/>
      <c r="J457" s="166"/>
    </row>
    <row r="458" ht="7.5" customHeight="1">
      <c r="A458" s="126"/>
      <c r="B458" s="242"/>
      <c r="C458" s="242"/>
      <c r="D458" s="242"/>
      <c r="E458" s="165"/>
      <c r="F458" s="165"/>
      <c r="G458" s="165"/>
      <c r="H458" s="126"/>
      <c r="I458" s="126"/>
      <c r="J458" s="166"/>
    </row>
    <row r="459" ht="7.5" customHeight="1">
      <c r="A459" s="126"/>
      <c r="B459" s="242"/>
      <c r="C459" s="242"/>
      <c r="D459" s="242"/>
      <c r="E459" s="165"/>
      <c r="F459" s="165"/>
      <c r="G459" s="165"/>
      <c r="H459" s="126"/>
      <c r="I459" s="126"/>
      <c r="J459" s="166"/>
    </row>
    <row r="460" ht="7.5" customHeight="1">
      <c r="A460" s="126"/>
      <c r="B460" s="242"/>
      <c r="C460" s="242"/>
      <c r="D460" s="242"/>
      <c r="E460" s="165"/>
      <c r="F460" s="165"/>
      <c r="G460" s="165"/>
      <c r="H460" s="126"/>
      <c r="I460" s="126"/>
      <c r="J460" s="166"/>
    </row>
    <row r="461" ht="7.5" customHeight="1">
      <c r="A461" s="126"/>
      <c r="B461" s="242"/>
      <c r="C461" s="242"/>
      <c r="D461" s="242"/>
      <c r="E461" s="165"/>
      <c r="F461" s="165"/>
      <c r="G461" s="165"/>
      <c r="H461" s="126"/>
      <c r="I461" s="126"/>
      <c r="J461" s="166"/>
    </row>
    <row r="462" ht="7.5" customHeight="1">
      <c r="A462" s="126"/>
      <c r="B462" s="242"/>
      <c r="C462" s="242"/>
      <c r="D462" s="242"/>
      <c r="E462" s="165"/>
      <c r="F462" s="165"/>
      <c r="G462" s="165"/>
      <c r="H462" s="126"/>
      <c r="I462" s="126"/>
      <c r="J462" s="166"/>
    </row>
    <row r="463" ht="7.5" customHeight="1">
      <c r="A463" s="126"/>
      <c r="B463" s="242"/>
      <c r="C463" s="242"/>
      <c r="D463" s="242"/>
      <c r="E463" s="165"/>
      <c r="F463" s="165"/>
      <c r="G463" s="165"/>
      <c r="H463" s="126"/>
      <c r="I463" s="126"/>
      <c r="J463" s="166"/>
    </row>
    <row r="464" ht="7.5" customHeight="1">
      <c r="A464" s="126"/>
      <c r="B464" s="242"/>
      <c r="C464" s="242"/>
      <c r="D464" s="242"/>
      <c r="E464" s="165"/>
      <c r="F464" s="165"/>
      <c r="G464" s="165"/>
      <c r="H464" s="126"/>
      <c r="I464" s="126"/>
      <c r="J464" s="166"/>
    </row>
    <row r="465" ht="7.5" customHeight="1">
      <c r="A465" s="126"/>
      <c r="B465" s="242"/>
      <c r="C465" s="242"/>
      <c r="D465" s="242"/>
      <c r="E465" s="165"/>
      <c r="F465" s="165"/>
      <c r="G465" s="165"/>
      <c r="H465" s="126"/>
      <c r="I465" s="126"/>
      <c r="J465" s="166"/>
    </row>
    <row r="466" ht="7.5" customHeight="1">
      <c r="A466" s="126"/>
      <c r="B466" s="242"/>
      <c r="C466" s="242"/>
      <c r="D466" s="242"/>
      <c r="E466" s="165"/>
      <c r="F466" s="165"/>
      <c r="G466" s="165"/>
      <c r="H466" s="126"/>
      <c r="I466" s="126"/>
      <c r="J466" s="166"/>
    </row>
    <row r="467" ht="7.5" customHeight="1">
      <c r="A467" s="126"/>
      <c r="B467" s="242"/>
      <c r="C467" s="242"/>
      <c r="D467" s="242"/>
      <c r="E467" s="165"/>
      <c r="F467" s="165"/>
      <c r="G467" s="165"/>
      <c r="H467" s="126"/>
      <c r="I467" s="126"/>
      <c r="J467" s="166"/>
    </row>
    <row r="468" ht="7.5" customHeight="1">
      <c r="A468" s="126"/>
      <c r="B468" s="242"/>
      <c r="C468" s="242"/>
      <c r="D468" s="242"/>
      <c r="E468" s="165"/>
      <c r="F468" s="165"/>
      <c r="G468" s="165"/>
      <c r="H468" s="126"/>
      <c r="I468" s="126"/>
      <c r="J468" s="166"/>
    </row>
    <row r="469" ht="7.5" customHeight="1">
      <c r="A469" s="126"/>
      <c r="B469" s="242"/>
      <c r="C469" s="242"/>
      <c r="D469" s="242"/>
      <c r="E469" s="165"/>
      <c r="F469" s="165"/>
      <c r="G469" s="165"/>
      <c r="H469" s="126"/>
      <c r="I469" s="126"/>
      <c r="J469" s="166"/>
    </row>
    <row r="470" ht="7.5" customHeight="1">
      <c r="A470" s="126"/>
      <c r="B470" s="242"/>
      <c r="C470" s="242"/>
      <c r="D470" s="242"/>
      <c r="E470" s="165"/>
      <c r="F470" s="165"/>
      <c r="G470" s="165"/>
      <c r="H470" s="126"/>
      <c r="I470" s="126"/>
      <c r="J470" s="166"/>
    </row>
    <row r="471" ht="7.5" customHeight="1">
      <c r="A471" s="126"/>
      <c r="B471" s="242"/>
      <c r="C471" s="242"/>
      <c r="D471" s="242"/>
      <c r="E471" s="165"/>
      <c r="F471" s="165"/>
      <c r="G471" s="165"/>
      <c r="H471" s="126"/>
      <c r="I471" s="126"/>
      <c r="J471" s="166"/>
    </row>
    <row r="472" ht="7.5" customHeight="1">
      <c r="A472" s="126"/>
      <c r="B472" s="242"/>
      <c r="C472" s="242"/>
      <c r="D472" s="242"/>
      <c r="E472" s="165"/>
      <c r="F472" s="165"/>
      <c r="G472" s="165"/>
      <c r="H472" s="126"/>
      <c r="I472" s="126"/>
      <c r="J472" s="166"/>
    </row>
    <row r="473" ht="7.5" customHeight="1">
      <c r="A473" s="126"/>
      <c r="B473" s="242"/>
      <c r="C473" s="242"/>
      <c r="D473" s="242"/>
      <c r="E473" s="165"/>
      <c r="F473" s="165"/>
      <c r="G473" s="165"/>
      <c r="H473" s="126"/>
      <c r="I473" s="126"/>
      <c r="J473" s="166"/>
    </row>
    <row r="474" ht="7.5" customHeight="1">
      <c r="A474" s="126"/>
      <c r="B474" s="242"/>
      <c r="C474" s="242"/>
      <c r="D474" s="242"/>
      <c r="E474" s="165"/>
      <c r="F474" s="165"/>
      <c r="G474" s="165"/>
      <c r="H474" s="126"/>
      <c r="I474" s="126"/>
      <c r="J474" s="166"/>
    </row>
    <row r="475" ht="7.5" customHeight="1">
      <c r="A475" s="126"/>
      <c r="B475" s="242"/>
      <c r="C475" s="242"/>
      <c r="D475" s="242"/>
      <c r="E475" s="165"/>
      <c r="F475" s="165"/>
      <c r="G475" s="165"/>
      <c r="H475" s="126"/>
      <c r="I475" s="126"/>
      <c r="J475" s="166"/>
    </row>
    <row r="476" ht="7.5" customHeight="1">
      <c r="A476" s="126"/>
      <c r="B476" s="242"/>
      <c r="C476" s="242"/>
      <c r="D476" s="242"/>
      <c r="E476" s="165"/>
      <c r="F476" s="165"/>
      <c r="G476" s="165"/>
      <c r="H476" s="126"/>
      <c r="I476" s="126"/>
      <c r="J476" s="166"/>
    </row>
    <row r="477" ht="7.5" customHeight="1">
      <c r="A477" s="126"/>
      <c r="B477" s="242"/>
      <c r="C477" s="242"/>
      <c r="D477" s="242"/>
      <c r="E477" s="165"/>
      <c r="F477" s="165"/>
      <c r="G477" s="165"/>
      <c r="H477" s="126"/>
      <c r="I477" s="126"/>
      <c r="J477" s="166"/>
    </row>
    <row r="478" ht="7.5" customHeight="1">
      <c r="A478" s="126"/>
      <c r="B478" s="242"/>
      <c r="C478" s="242"/>
      <c r="D478" s="242"/>
      <c r="E478" s="165"/>
      <c r="F478" s="165"/>
      <c r="G478" s="165"/>
      <c r="H478" s="126"/>
      <c r="I478" s="126"/>
      <c r="J478" s="166"/>
    </row>
    <row r="479" ht="7.5" customHeight="1">
      <c r="A479" s="126"/>
      <c r="B479" s="242"/>
      <c r="C479" s="242"/>
      <c r="D479" s="242"/>
      <c r="E479" s="165"/>
      <c r="F479" s="165"/>
      <c r="G479" s="165"/>
      <c r="H479" s="126"/>
      <c r="I479" s="126"/>
      <c r="J479" s="166"/>
    </row>
    <row r="480" ht="7.5" customHeight="1">
      <c r="A480" s="126"/>
      <c r="B480" s="242"/>
      <c r="C480" s="242"/>
      <c r="D480" s="242"/>
      <c r="E480" s="165"/>
      <c r="F480" s="165"/>
      <c r="G480" s="165"/>
      <c r="H480" s="126"/>
      <c r="I480" s="126"/>
      <c r="J480" s="166"/>
    </row>
    <row r="481" ht="7.5" customHeight="1">
      <c r="A481" s="126"/>
      <c r="B481" s="242"/>
      <c r="C481" s="242"/>
      <c r="D481" s="242"/>
      <c r="E481" s="165"/>
      <c r="F481" s="165"/>
      <c r="G481" s="165"/>
      <c r="H481" s="126"/>
      <c r="I481" s="126"/>
      <c r="J481" s="166"/>
    </row>
    <row r="482" ht="7.5" customHeight="1">
      <c r="A482" s="126"/>
      <c r="B482" s="242"/>
      <c r="C482" s="242"/>
      <c r="D482" s="242"/>
      <c r="E482" s="165"/>
      <c r="F482" s="165"/>
      <c r="G482" s="165"/>
      <c r="H482" s="126"/>
      <c r="I482" s="126"/>
      <c r="J482" s="166"/>
    </row>
    <row r="483" ht="7.5" customHeight="1">
      <c r="A483" s="126"/>
      <c r="B483" s="242"/>
      <c r="C483" s="242"/>
      <c r="D483" s="242"/>
      <c r="E483" s="165"/>
      <c r="F483" s="165"/>
      <c r="G483" s="165"/>
      <c r="H483" s="126"/>
      <c r="I483" s="126"/>
      <c r="J483" s="166"/>
    </row>
    <row r="484" ht="7.5" customHeight="1">
      <c r="A484" s="126"/>
      <c r="B484" s="242"/>
      <c r="C484" s="242"/>
      <c r="D484" s="242"/>
      <c r="E484" s="165"/>
      <c r="F484" s="165"/>
      <c r="G484" s="165"/>
      <c r="H484" s="126"/>
      <c r="I484" s="126"/>
      <c r="J484" s="166"/>
    </row>
    <row r="485" ht="7.5" customHeight="1">
      <c r="A485" s="126"/>
      <c r="B485" s="242"/>
      <c r="C485" s="242"/>
      <c r="D485" s="242"/>
      <c r="E485" s="165"/>
      <c r="F485" s="165"/>
      <c r="G485" s="165"/>
      <c r="H485" s="126"/>
      <c r="I485" s="126"/>
      <c r="J485" s="166"/>
    </row>
    <row r="486" ht="7.5" customHeight="1">
      <c r="A486" s="126"/>
      <c r="B486" s="242"/>
      <c r="C486" s="242"/>
      <c r="D486" s="242"/>
      <c r="E486" s="165"/>
      <c r="F486" s="165"/>
      <c r="G486" s="165"/>
      <c r="H486" s="126"/>
      <c r="I486" s="126"/>
      <c r="J486" s="166"/>
    </row>
    <row r="487" ht="7.5" customHeight="1">
      <c r="A487" s="126"/>
      <c r="B487" s="242"/>
      <c r="C487" s="242"/>
      <c r="D487" s="242"/>
      <c r="E487" s="165"/>
      <c r="F487" s="165"/>
      <c r="G487" s="165"/>
      <c r="H487" s="126"/>
      <c r="I487" s="126"/>
      <c r="J487" s="166"/>
    </row>
    <row r="488" ht="7.5" customHeight="1">
      <c r="A488" s="126"/>
      <c r="B488" s="242"/>
      <c r="C488" s="242"/>
      <c r="D488" s="242"/>
      <c r="E488" s="165"/>
      <c r="F488" s="165"/>
      <c r="G488" s="165"/>
      <c r="H488" s="126"/>
      <c r="I488" s="126"/>
      <c r="J488" s="166"/>
    </row>
    <row r="489" ht="7.5" customHeight="1">
      <c r="A489" s="126"/>
      <c r="B489" s="242"/>
      <c r="C489" s="242"/>
      <c r="D489" s="242"/>
      <c r="E489" s="165"/>
      <c r="F489" s="165"/>
      <c r="G489" s="165"/>
      <c r="H489" s="126"/>
      <c r="I489" s="126"/>
      <c r="J489" s="166"/>
    </row>
    <row r="490" ht="7.5" customHeight="1">
      <c r="A490" s="126"/>
      <c r="B490" s="242"/>
      <c r="C490" s="242"/>
      <c r="D490" s="242"/>
      <c r="E490" s="165"/>
      <c r="F490" s="165"/>
      <c r="G490" s="165"/>
      <c r="H490" s="126"/>
      <c r="I490" s="126"/>
      <c r="J490" s="166"/>
    </row>
    <row r="491" ht="7.5" customHeight="1">
      <c r="A491" s="126"/>
      <c r="B491" s="242"/>
      <c r="C491" s="242"/>
      <c r="D491" s="242"/>
      <c r="E491" s="165"/>
      <c r="F491" s="165"/>
      <c r="G491" s="165"/>
      <c r="H491" s="126"/>
      <c r="I491" s="126"/>
      <c r="J491" s="166"/>
    </row>
    <row r="492" ht="7.5" customHeight="1">
      <c r="A492" s="126"/>
      <c r="B492" s="242"/>
      <c r="C492" s="242"/>
      <c r="D492" s="242"/>
      <c r="E492" s="165"/>
      <c r="F492" s="165"/>
      <c r="G492" s="165"/>
      <c r="H492" s="126"/>
      <c r="I492" s="126"/>
      <c r="J492" s="166"/>
    </row>
    <row r="493" ht="7.5" customHeight="1">
      <c r="A493" s="126"/>
      <c r="B493" s="242"/>
      <c r="C493" s="242"/>
      <c r="D493" s="242"/>
      <c r="E493" s="165"/>
      <c r="F493" s="165"/>
      <c r="G493" s="165"/>
      <c r="H493" s="126"/>
      <c r="I493" s="126"/>
      <c r="J493" s="166"/>
    </row>
    <row r="494" ht="7.5" customHeight="1">
      <c r="A494" s="126"/>
      <c r="B494" s="242"/>
      <c r="C494" s="242"/>
      <c r="D494" s="242"/>
      <c r="E494" s="165"/>
      <c r="F494" s="165"/>
      <c r="G494" s="165"/>
      <c r="H494" s="126"/>
      <c r="I494" s="126"/>
      <c r="J494" s="166"/>
    </row>
    <row r="495" ht="7.5" customHeight="1">
      <c r="A495" s="126"/>
      <c r="B495" s="242"/>
      <c r="C495" s="242"/>
      <c r="D495" s="242"/>
      <c r="E495" s="165"/>
      <c r="F495" s="165"/>
      <c r="G495" s="165"/>
      <c r="H495" s="126"/>
      <c r="I495" s="126"/>
      <c r="J495" s="166"/>
    </row>
    <row r="496" ht="7.5" customHeight="1">
      <c r="A496" s="126"/>
      <c r="B496" s="242"/>
      <c r="C496" s="242"/>
      <c r="D496" s="242"/>
      <c r="E496" s="165"/>
      <c r="F496" s="165"/>
      <c r="G496" s="165"/>
      <c r="H496" s="126"/>
      <c r="I496" s="126"/>
      <c r="J496" s="166"/>
    </row>
    <row r="497" ht="7.5" customHeight="1">
      <c r="A497" s="126"/>
      <c r="B497" s="242"/>
      <c r="C497" s="242"/>
      <c r="D497" s="242"/>
      <c r="E497" s="165"/>
      <c r="F497" s="165"/>
      <c r="G497" s="165"/>
      <c r="H497" s="126"/>
      <c r="I497" s="126"/>
      <c r="J497" s="166"/>
    </row>
    <row r="498" ht="7.5" customHeight="1">
      <c r="A498" s="126"/>
      <c r="B498" s="242"/>
      <c r="C498" s="242"/>
      <c r="D498" s="242"/>
      <c r="E498" s="165"/>
      <c r="F498" s="165"/>
      <c r="G498" s="165"/>
      <c r="H498" s="126"/>
      <c r="I498" s="126"/>
      <c r="J498" s="166"/>
    </row>
    <row r="499" ht="7.5" customHeight="1">
      <c r="A499" s="126"/>
      <c r="B499" s="242"/>
      <c r="C499" s="242"/>
      <c r="D499" s="242"/>
      <c r="E499" s="165"/>
      <c r="F499" s="165"/>
      <c r="G499" s="165"/>
      <c r="H499" s="126"/>
      <c r="I499" s="126"/>
      <c r="J499" s="166"/>
    </row>
    <row r="500" ht="7.5" customHeight="1">
      <c r="A500" s="126"/>
      <c r="B500" s="242"/>
      <c r="C500" s="242"/>
      <c r="D500" s="242"/>
      <c r="E500" s="165"/>
      <c r="F500" s="165"/>
      <c r="G500" s="165"/>
      <c r="H500" s="126"/>
      <c r="I500" s="126"/>
      <c r="J500" s="166"/>
    </row>
    <row r="501" ht="7.5" customHeight="1">
      <c r="A501" s="126"/>
      <c r="B501" s="242"/>
      <c r="C501" s="242"/>
      <c r="D501" s="242"/>
      <c r="E501" s="165"/>
      <c r="F501" s="165"/>
      <c r="G501" s="165"/>
      <c r="H501" s="126"/>
      <c r="I501" s="126"/>
      <c r="J501" s="166"/>
    </row>
    <row r="502" ht="7.5" customHeight="1">
      <c r="A502" s="126"/>
      <c r="B502" s="242"/>
      <c r="C502" s="242"/>
      <c r="D502" s="242"/>
      <c r="E502" s="165"/>
      <c r="F502" s="165"/>
      <c r="G502" s="165"/>
      <c r="H502" s="126"/>
      <c r="I502" s="126"/>
      <c r="J502" s="166"/>
    </row>
    <row r="503" ht="7.5" customHeight="1">
      <c r="A503" s="126"/>
      <c r="B503" s="242"/>
      <c r="C503" s="242"/>
      <c r="D503" s="242"/>
      <c r="E503" s="165"/>
      <c r="F503" s="165"/>
      <c r="G503" s="165"/>
      <c r="H503" s="126"/>
      <c r="I503" s="126"/>
      <c r="J503" s="166"/>
    </row>
    <row r="504" ht="7.5" customHeight="1">
      <c r="A504" s="126"/>
      <c r="B504" s="242"/>
      <c r="C504" s="242"/>
      <c r="D504" s="242"/>
      <c r="E504" s="165"/>
      <c r="F504" s="165"/>
      <c r="G504" s="165"/>
      <c r="H504" s="126"/>
      <c r="I504" s="126"/>
      <c r="J504" s="166"/>
    </row>
    <row r="505" ht="7.5" customHeight="1">
      <c r="A505" s="126"/>
      <c r="B505" s="242"/>
      <c r="C505" s="242"/>
      <c r="D505" s="242"/>
      <c r="E505" s="165"/>
      <c r="F505" s="165"/>
      <c r="G505" s="165"/>
      <c r="H505" s="126"/>
      <c r="I505" s="126"/>
      <c r="J505" s="166"/>
    </row>
    <row r="506" ht="7.5" customHeight="1">
      <c r="A506" s="126"/>
      <c r="B506" s="242"/>
      <c r="C506" s="242"/>
      <c r="D506" s="242"/>
      <c r="E506" s="165"/>
      <c r="F506" s="165"/>
      <c r="G506" s="165"/>
      <c r="H506" s="126"/>
      <c r="I506" s="126"/>
      <c r="J506" s="166"/>
    </row>
    <row r="507" ht="7.5" customHeight="1">
      <c r="A507" s="126"/>
      <c r="B507" s="242"/>
      <c r="C507" s="242"/>
      <c r="D507" s="242"/>
      <c r="E507" s="165"/>
      <c r="F507" s="165"/>
      <c r="G507" s="165"/>
      <c r="H507" s="126"/>
      <c r="I507" s="126"/>
      <c r="J507" s="166"/>
    </row>
    <row r="508" ht="7.5" customHeight="1">
      <c r="A508" s="126"/>
      <c r="B508" s="242"/>
      <c r="C508" s="242"/>
      <c r="D508" s="242"/>
      <c r="E508" s="165"/>
      <c r="F508" s="165"/>
      <c r="G508" s="165"/>
      <c r="H508" s="126"/>
      <c r="I508" s="126"/>
      <c r="J508" s="166"/>
    </row>
    <row r="509" ht="7.5" customHeight="1">
      <c r="A509" s="126"/>
      <c r="B509" s="242"/>
      <c r="C509" s="242"/>
      <c r="D509" s="242"/>
      <c r="E509" s="165"/>
      <c r="F509" s="165"/>
      <c r="G509" s="165"/>
      <c r="H509" s="126"/>
      <c r="I509" s="126"/>
      <c r="J509" s="166"/>
    </row>
    <row r="510" ht="7.5" customHeight="1">
      <c r="A510" s="126"/>
      <c r="B510" s="242"/>
      <c r="C510" s="242"/>
      <c r="D510" s="242"/>
      <c r="E510" s="165"/>
      <c r="F510" s="165"/>
      <c r="G510" s="165"/>
      <c r="H510" s="126"/>
      <c r="I510" s="126"/>
      <c r="J510" s="166"/>
    </row>
    <row r="511" ht="7.5" customHeight="1">
      <c r="A511" s="126"/>
      <c r="B511" s="242"/>
      <c r="C511" s="242"/>
      <c r="D511" s="242"/>
      <c r="E511" s="165"/>
      <c r="F511" s="165"/>
      <c r="G511" s="165"/>
      <c r="H511" s="126"/>
      <c r="I511" s="126"/>
      <c r="J511" s="166"/>
    </row>
    <row r="512" ht="7.5" customHeight="1">
      <c r="A512" s="126"/>
      <c r="B512" s="242"/>
      <c r="C512" s="242"/>
      <c r="D512" s="242"/>
      <c r="E512" s="165"/>
      <c r="F512" s="165"/>
      <c r="G512" s="165"/>
      <c r="H512" s="126"/>
      <c r="I512" s="126"/>
      <c r="J512" s="166"/>
    </row>
    <row r="513" ht="7.5" customHeight="1">
      <c r="A513" s="126"/>
      <c r="B513" s="242"/>
      <c r="C513" s="242"/>
      <c r="D513" s="242"/>
      <c r="E513" s="165"/>
      <c r="F513" s="165"/>
      <c r="G513" s="165"/>
      <c r="H513" s="126"/>
      <c r="I513" s="126"/>
      <c r="J513" s="166"/>
    </row>
    <row r="514" ht="7.5" customHeight="1">
      <c r="A514" s="126"/>
      <c r="B514" s="242"/>
      <c r="C514" s="242"/>
      <c r="D514" s="242"/>
      <c r="E514" s="165"/>
      <c r="F514" s="165"/>
      <c r="G514" s="165"/>
      <c r="H514" s="126"/>
      <c r="I514" s="126"/>
      <c r="J514" s="166"/>
    </row>
    <row r="515" ht="7.5" customHeight="1">
      <c r="A515" s="126"/>
      <c r="B515" s="242"/>
      <c r="C515" s="242"/>
      <c r="D515" s="242"/>
      <c r="E515" s="165"/>
      <c r="F515" s="165"/>
      <c r="G515" s="165"/>
      <c r="H515" s="126"/>
      <c r="I515" s="126"/>
      <c r="J515" s="166"/>
    </row>
    <row r="516" ht="7.5" customHeight="1">
      <c r="A516" s="126"/>
      <c r="B516" s="242"/>
      <c r="C516" s="242"/>
      <c r="D516" s="242"/>
      <c r="E516" s="165"/>
      <c r="F516" s="165"/>
      <c r="G516" s="165"/>
      <c r="H516" s="126"/>
      <c r="I516" s="126"/>
      <c r="J516" s="166"/>
    </row>
    <row r="517" ht="7.5" customHeight="1">
      <c r="A517" s="126"/>
      <c r="B517" s="242"/>
      <c r="C517" s="242"/>
      <c r="D517" s="242"/>
      <c r="E517" s="165"/>
      <c r="F517" s="165"/>
      <c r="G517" s="165"/>
      <c r="H517" s="126"/>
      <c r="I517" s="126"/>
      <c r="J517" s="166"/>
    </row>
    <row r="518" ht="7.5" customHeight="1">
      <c r="A518" s="126"/>
      <c r="B518" s="242"/>
      <c r="C518" s="242"/>
      <c r="D518" s="242"/>
      <c r="E518" s="165"/>
      <c r="F518" s="165"/>
      <c r="G518" s="165"/>
      <c r="H518" s="126"/>
      <c r="I518" s="126"/>
      <c r="J518" s="166"/>
    </row>
    <row r="519" ht="7.5" customHeight="1">
      <c r="A519" s="126"/>
      <c r="B519" s="242"/>
      <c r="C519" s="242"/>
      <c r="D519" s="242"/>
      <c r="E519" s="165"/>
      <c r="F519" s="165"/>
      <c r="G519" s="165"/>
      <c r="H519" s="126"/>
      <c r="I519" s="126"/>
      <c r="J519" s="166"/>
    </row>
    <row r="520" ht="7.5" customHeight="1">
      <c r="A520" s="126"/>
      <c r="B520" s="242"/>
      <c r="C520" s="242"/>
      <c r="D520" s="242"/>
      <c r="E520" s="165"/>
      <c r="F520" s="165"/>
      <c r="G520" s="165"/>
      <c r="H520" s="126"/>
      <c r="I520" s="126"/>
      <c r="J520" s="166"/>
    </row>
    <row r="521" ht="7.5" customHeight="1">
      <c r="A521" s="126"/>
      <c r="B521" s="242"/>
      <c r="C521" s="242"/>
      <c r="D521" s="242"/>
      <c r="E521" s="165"/>
      <c r="F521" s="165"/>
      <c r="G521" s="165"/>
      <c r="H521" s="126"/>
      <c r="I521" s="126"/>
      <c r="J521" s="166"/>
    </row>
    <row r="522" ht="7.5" customHeight="1">
      <c r="A522" s="126"/>
      <c r="B522" s="242"/>
      <c r="C522" s="242"/>
      <c r="D522" s="242"/>
      <c r="E522" s="165"/>
      <c r="F522" s="165"/>
      <c r="G522" s="165"/>
      <c r="H522" s="126"/>
      <c r="I522" s="126"/>
      <c r="J522" s="166"/>
    </row>
    <row r="523" ht="7.5" customHeight="1">
      <c r="A523" s="126"/>
      <c r="B523" s="242"/>
      <c r="C523" s="242"/>
      <c r="D523" s="242"/>
      <c r="E523" s="165"/>
      <c r="F523" s="165"/>
      <c r="G523" s="165"/>
      <c r="H523" s="126"/>
      <c r="I523" s="126"/>
      <c r="J523" s="166"/>
    </row>
    <row r="524" ht="7.5" customHeight="1">
      <c r="A524" s="126"/>
      <c r="B524" s="242"/>
      <c r="C524" s="242"/>
      <c r="D524" s="242"/>
      <c r="E524" s="165"/>
      <c r="F524" s="165"/>
      <c r="G524" s="165"/>
      <c r="H524" s="126"/>
      <c r="I524" s="126"/>
      <c r="J524" s="166"/>
    </row>
    <row r="525" ht="7.5" customHeight="1">
      <c r="A525" s="126"/>
      <c r="B525" s="242"/>
      <c r="C525" s="242"/>
      <c r="D525" s="242"/>
      <c r="E525" s="165"/>
      <c r="F525" s="165"/>
      <c r="G525" s="165"/>
      <c r="H525" s="126"/>
      <c r="I525" s="126"/>
      <c r="J525" s="166"/>
    </row>
    <row r="526" ht="7.5" customHeight="1">
      <c r="A526" s="126"/>
      <c r="B526" s="242"/>
      <c r="C526" s="242"/>
      <c r="D526" s="242"/>
      <c r="E526" s="165"/>
      <c r="F526" s="165"/>
      <c r="G526" s="165"/>
      <c r="H526" s="126"/>
      <c r="I526" s="126"/>
      <c r="J526" s="166"/>
    </row>
    <row r="527" ht="7.5" customHeight="1">
      <c r="A527" s="126"/>
      <c r="B527" s="242"/>
      <c r="C527" s="242"/>
      <c r="D527" s="242"/>
      <c r="E527" s="165"/>
      <c r="F527" s="165"/>
      <c r="G527" s="165"/>
      <c r="H527" s="126"/>
      <c r="I527" s="126"/>
      <c r="J527" s="166"/>
    </row>
    <row r="528" ht="7.5" customHeight="1">
      <c r="A528" s="126"/>
      <c r="B528" s="242"/>
      <c r="C528" s="242"/>
      <c r="D528" s="242"/>
      <c r="E528" s="165"/>
      <c r="F528" s="165"/>
      <c r="G528" s="165"/>
      <c r="H528" s="126"/>
      <c r="I528" s="126"/>
      <c r="J528" s="166"/>
    </row>
    <row r="529" ht="7.5" customHeight="1">
      <c r="A529" s="126"/>
      <c r="B529" s="242"/>
      <c r="C529" s="242"/>
      <c r="D529" s="242"/>
      <c r="E529" s="165"/>
      <c r="F529" s="165"/>
      <c r="G529" s="165"/>
      <c r="H529" s="126"/>
      <c r="I529" s="126"/>
      <c r="J529" s="166"/>
    </row>
    <row r="530" ht="7.5" customHeight="1">
      <c r="A530" s="126"/>
      <c r="B530" s="242"/>
      <c r="C530" s="242"/>
      <c r="D530" s="242"/>
      <c r="E530" s="165"/>
      <c r="F530" s="165"/>
      <c r="G530" s="165"/>
      <c r="H530" s="126"/>
      <c r="I530" s="126"/>
      <c r="J530" s="166"/>
    </row>
    <row r="531" ht="7.5" customHeight="1">
      <c r="A531" s="126"/>
      <c r="B531" s="242"/>
      <c r="C531" s="242"/>
      <c r="D531" s="242"/>
      <c r="E531" s="165"/>
      <c r="F531" s="165"/>
      <c r="G531" s="165"/>
      <c r="H531" s="126"/>
      <c r="I531" s="126"/>
      <c r="J531" s="166"/>
    </row>
    <row r="532" ht="7.5" customHeight="1">
      <c r="A532" s="126"/>
      <c r="B532" s="242"/>
      <c r="C532" s="242"/>
      <c r="D532" s="242"/>
      <c r="E532" s="165"/>
      <c r="F532" s="165"/>
      <c r="G532" s="165"/>
      <c r="H532" s="126"/>
      <c r="I532" s="126"/>
      <c r="J532" s="166"/>
    </row>
    <row r="533" ht="7.5" customHeight="1">
      <c r="A533" s="126"/>
      <c r="B533" s="242"/>
      <c r="C533" s="242"/>
      <c r="D533" s="242"/>
      <c r="E533" s="165"/>
      <c r="F533" s="165"/>
      <c r="G533" s="165"/>
      <c r="H533" s="126"/>
      <c r="I533" s="126"/>
      <c r="J533" s="166"/>
    </row>
    <row r="534" ht="7.5" customHeight="1">
      <c r="A534" s="126"/>
      <c r="B534" s="242"/>
      <c r="C534" s="242"/>
      <c r="D534" s="242"/>
      <c r="E534" s="165"/>
      <c r="F534" s="165"/>
      <c r="G534" s="165"/>
      <c r="H534" s="126"/>
      <c r="I534" s="126"/>
      <c r="J534" s="166"/>
    </row>
    <row r="535" ht="7.5" customHeight="1">
      <c r="A535" s="126"/>
      <c r="B535" s="242"/>
      <c r="C535" s="242"/>
      <c r="D535" s="242"/>
      <c r="E535" s="165"/>
      <c r="F535" s="165"/>
      <c r="G535" s="165"/>
      <c r="H535" s="126"/>
      <c r="I535" s="126"/>
      <c r="J535" s="166"/>
    </row>
    <row r="536" ht="7.5" customHeight="1">
      <c r="A536" s="126"/>
      <c r="B536" s="242"/>
      <c r="C536" s="242"/>
      <c r="D536" s="242"/>
      <c r="E536" s="165"/>
      <c r="F536" s="165"/>
      <c r="G536" s="165"/>
      <c r="H536" s="126"/>
      <c r="I536" s="126"/>
      <c r="J536" s="166"/>
    </row>
    <row r="537" ht="7.5" customHeight="1">
      <c r="A537" s="126"/>
      <c r="B537" s="242"/>
      <c r="C537" s="242"/>
      <c r="D537" s="242"/>
      <c r="E537" s="165"/>
      <c r="F537" s="165"/>
      <c r="G537" s="165"/>
      <c r="H537" s="126"/>
      <c r="I537" s="126"/>
      <c r="J537" s="166"/>
    </row>
    <row r="538" ht="7.5" customHeight="1">
      <c r="A538" s="126"/>
      <c r="B538" s="242"/>
      <c r="C538" s="242"/>
      <c r="D538" s="242"/>
      <c r="E538" s="165"/>
      <c r="F538" s="165"/>
      <c r="G538" s="165"/>
      <c r="H538" s="126"/>
      <c r="I538" s="126"/>
      <c r="J538" s="166"/>
    </row>
    <row r="539" ht="7.5" customHeight="1">
      <c r="A539" s="126"/>
      <c r="B539" s="242"/>
      <c r="C539" s="242"/>
      <c r="D539" s="242"/>
      <c r="E539" s="165"/>
      <c r="F539" s="165"/>
      <c r="G539" s="165"/>
      <c r="H539" s="126"/>
      <c r="I539" s="126"/>
      <c r="J539" s="166"/>
    </row>
    <row r="540" ht="7.5" customHeight="1">
      <c r="A540" s="126"/>
      <c r="B540" s="242"/>
      <c r="C540" s="242"/>
      <c r="D540" s="242"/>
      <c r="E540" s="165"/>
      <c r="F540" s="165"/>
      <c r="G540" s="165"/>
      <c r="H540" s="126"/>
      <c r="I540" s="126"/>
      <c r="J540" s="166"/>
    </row>
    <row r="541" ht="7.5" customHeight="1">
      <c r="A541" s="126"/>
      <c r="B541" s="242"/>
      <c r="C541" s="242"/>
      <c r="D541" s="242"/>
      <c r="E541" s="165"/>
      <c r="F541" s="165"/>
      <c r="G541" s="165"/>
      <c r="H541" s="126"/>
      <c r="I541" s="126"/>
      <c r="J541" s="166"/>
    </row>
    <row r="542" ht="7.5" customHeight="1">
      <c r="A542" s="126"/>
      <c r="B542" s="242"/>
      <c r="C542" s="242"/>
      <c r="D542" s="242"/>
      <c r="E542" s="165"/>
      <c r="F542" s="165"/>
      <c r="G542" s="165"/>
      <c r="H542" s="126"/>
      <c r="I542" s="126"/>
      <c r="J542" s="166"/>
    </row>
    <row r="543" ht="7.5" customHeight="1">
      <c r="A543" s="126"/>
      <c r="B543" s="242"/>
      <c r="C543" s="242"/>
      <c r="D543" s="242"/>
      <c r="E543" s="165"/>
      <c r="F543" s="165"/>
      <c r="G543" s="165"/>
      <c r="H543" s="126"/>
      <c r="I543" s="126"/>
      <c r="J543" s="166"/>
    </row>
    <row r="544" ht="7.5" customHeight="1">
      <c r="A544" s="126"/>
      <c r="B544" s="242"/>
      <c r="C544" s="242"/>
      <c r="D544" s="242"/>
      <c r="E544" s="165"/>
      <c r="F544" s="165"/>
      <c r="G544" s="165"/>
      <c r="H544" s="126"/>
      <c r="I544" s="126"/>
      <c r="J544" s="166"/>
    </row>
    <row r="545" ht="7.5" customHeight="1">
      <c r="A545" s="126"/>
      <c r="B545" s="242"/>
      <c r="C545" s="242"/>
      <c r="D545" s="242"/>
      <c r="E545" s="165"/>
      <c r="F545" s="165"/>
      <c r="G545" s="165"/>
      <c r="H545" s="126"/>
      <c r="I545" s="126"/>
      <c r="J545" s="166"/>
    </row>
    <row r="546" ht="7.5" customHeight="1">
      <c r="A546" s="126"/>
      <c r="B546" s="242"/>
      <c r="C546" s="242"/>
      <c r="D546" s="242"/>
      <c r="E546" s="165"/>
      <c r="F546" s="165"/>
      <c r="G546" s="165"/>
      <c r="H546" s="126"/>
      <c r="I546" s="126"/>
      <c r="J546" s="166"/>
    </row>
    <row r="547" ht="7.5" customHeight="1">
      <c r="A547" s="126"/>
      <c r="B547" s="242"/>
      <c r="C547" s="242"/>
      <c r="D547" s="242"/>
      <c r="E547" s="165"/>
      <c r="F547" s="165"/>
      <c r="G547" s="165"/>
      <c r="H547" s="126"/>
      <c r="I547" s="126"/>
      <c r="J547" s="166"/>
    </row>
    <row r="548" ht="7.5" customHeight="1">
      <c r="A548" s="126"/>
      <c r="B548" s="242"/>
      <c r="C548" s="242"/>
      <c r="D548" s="242"/>
      <c r="E548" s="165"/>
      <c r="F548" s="165"/>
      <c r="G548" s="165"/>
      <c r="H548" s="126"/>
      <c r="I548" s="126"/>
      <c r="J548" s="166"/>
    </row>
    <row r="549" ht="7.5" customHeight="1">
      <c r="A549" s="126"/>
      <c r="B549" s="242"/>
      <c r="C549" s="242"/>
      <c r="D549" s="242"/>
      <c r="E549" s="165"/>
      <c r="F549" s="165"/>
      <c r="G549" s="165"/>
      <c r="H549" s="126"/>
      <c r="I549" s="126"/>
      <c r="J549" s="166"/>
    </row>
    <row r="550" ht="7.5" customHeight="1">
      <c r="A550" s="126"/>
      <c r="B550" s="242"/>
      <c r="C550" s="242"/>
      <c r="D550" s="242"/>
      <c r="E550" s="165"/>
      <c r="F550" s="165"/>
      <c r="G550" s="165"/>
      <c r="H550" s="126"/>
      <c r="I550" s="126"/>
      <c r="J550" s="166"/>
    </row>
    <row r="551" ht="7.5" customHeight="1">
      <c r="A551" s="126"/>
      <c r="B551" s="242"/>
      <c r="C551" s="242"/>
      <c r="D551" s="242"/>
      <c r="E551" s="165"/>
      <c r="F551" s="165"/>
      <c r="G551" s="165"/>
      <c r="H551" s="126"/>
      <c r="I551" s="126"/>
      <c r="J551" s="166"/>
    </row>
    <row r="552" ht="7.5" customHeight="1">
      <c r="A552" s="126"/>
      <c r="B552" s="242"/>
      <c r="C552" s="242"/>
      <c r="D552" s="242"/>
      <c r="E552" s="165"/>
      <c r="F552" s="165"/>
      <c r="G552" s="165"/>
      <c r="H552" s="126"/>
      <c r="I552" s="126"/>
      <c r="J552" s="166"/>
    </row>
    <row r="553" ht="7.5" customHeight="1">
      <c r="A553" s="126"/>
      <c r="B553" s="242"/>
      <c r="C553" s="242"/>
      <c r="D553" s="242"/>
      <c r="E553" s="165"/>
      <c r="F553" s="165"/>
      <c r="G553" s="165"/>
      <c r="H553" s="126"/>
      <c r="I553" s="126"/>
      <c r="J553" s="166"/>
    </row>
    <row r="554" ht="7.5" customHeight="1">
      <c r="A554" s="126"/>
      <c r="B554" s="242"/>
      <c r="C554" s="242"/>
      <c r="D554" s="242"/>
      <c r="E554" s="165"/>
      <c r="F554" s="165"/>
      <c r="G554" s="165"/>
      <c r="H554" s="126"/>
      <c r="I554" s="126"/>
      <c r="J554" s="166"/>
    </row>
    <row r="555" ht="7.5" customHeight="1">
      <c r="A555" s="126"/>
      <c r="B555" s="242"/>
      <c r="C555" s="242"/>
      <c r="D555" s="242"/>
      <c r="E555" s="165"/>
      <c r="F555" s="165"/>
      <c r="G555" s="165"/>
      <c r="H555" s="126"/>
      <c r="I555" s="126"/>
      <c r="J555" s="166"/>
    </row>
    <row r="556" ht="7.5" customHeight="1">
      <c r="A556" s="126"/>
      <c r="B556" s="242"/>
      <c r="C556" s="242"/>
      <c r="D556" s="242"/>
      <c r="E556" s="165"/>
      <c r="F556" s="165"/>
      <c r="G556" s="165"/>
      <c r="H556" s="126"/>
      <c r="I556" s="126"/>
      <c r="J556" s="166"/>
    </row>
    <row r="557" ht="7.5" customHeight="1">
      <c r="A557" s="126"/>
      <c r="B557" s="242"/>
      <c r="C557" s="242"/>
      <c r="D557" s="242"/>
      <c r="E557" s="165"/>
      <c r="F557" s="165"/>
      <c r="G557" s="165"/>
      <c r="H557" s="126"/>
      <c r="I557" s="126"/>
      <c r="J557" s="166"/>
    </row>
    <row r="558" ht="7.5" customHeight="1">
      <c r="A558" s="126"/>
      <c r="B558" s="242"/>
      <c r="C558" s="242"/>
      <c r="D558" s="242"/>
      <c r="E558" s="165"/>
      <c r="F558" s="165"/>
      <c r="G558" s="165"/>
      <c r="H558" s="126"/>
      <c r="I558" s="126"/>
      <c r="J558" s="166"/>
    </row>
    <row r="559" ht="7.5" customHeight="1">
      <c r="A559" s="126"/>
      <c r="B559" s="242"/>
      <c r="C559" s="242"/>
      <c r="D559" s="242"/>
      <c r="E559" s="165"/>
      <c r="F559" s="165"/>
      <c r="G559" s="165"/>
      <c r="H559" s="126"/>
      <c r="I559" s="126"/>
      <c r="J559" s="166"/>
    </row>
    <row r="560" ht="7.5" customHeight="1">
      <c r="A560" s="126"/>
      <c r="B560" s="242"/>
      <c r="C560" s="242"/>
      <c r="D560" s="242"/>
      <c r="E560" s="165"/>
      <c r="F560" s="165"/>
      <c r="G560" s="165"/>
      <c r="H560" s="126"/>
      <c r="I560" s="126"/>
      <c r="J560" s="166"/>
    </row>
    <row r="561" ht="7.5" customHeight="1">
      <c r="A561" s="126"/>
      <c r="B561" s="242"/>
      <c r="C561" s="242"/>
      <c r="D561" s="242"/>
      <c r="E561" s="165"/>
      <c r="F561" s="165"/>
      <c r="G561" s="165"/>
      <c r="H561" s="126"/>
      <c r="I561" s="126"/>
      <c r="J561" s="166"/>
    </row>
    <row r="562" ht="7.5" customHeight="1">
      <c r="A562" s="126"/>
      <c r="B562" s="242"/>
      <c r="C562" s="242"/>
      <c r="D562" s="242"/>
      <c r="E562" s="165"/>
      <c r="F562" s="165"/>
      <c r="G562" s="165"/>
      <c r="H562" s="126"/>
      <c r="I562" s="126"/>
      <c r="J562" s="166"/>
    </row>
    <row r="563" ht="7.5" customHeight="1">
      <c r="A563" s="126"/>
      <c r="B563" s="242"/>
      <c r="C563" s="242"/>
      <c r="D563" s="242"/>
      <c r="E563" s="165"/>
      <c r="F563" s="165"/>
      <c r="G563" s="165"/>
      <c r="H563" s="126"/>
      <c r="I563" s="126"/>
      <c r="J563" s="166"/>
    </row>
    <row r="564" ht="7.5" customHeight="1">
      <c r="A564" s="126"/>
      <c r="B564" s="242"/>
      <c r="C564" s="242"/>
      <c r="D564" s="242"/>
      <c r="E564" s="165"/>
      <c r="F564" s="165"/>
      <c r="G564" s="165"/>
      <c r="H564" s="126"/>
      <c r="I564" s="126"/>
      <c r="J564" s="166"/>
    </row>
    <row r="565" ht="7.5" customHeight="1">
      <c r="A565" s="126"/>
      <c r="B565" s="242"/>
      <c r="C565" s="242"/>
      <c r="D565" s="242"/>
      <c r="E565" s="165"/>
      <c r="F565" s="165"/>
      <c r="G565" s="165"/>
      <c r="H565" s="126"/>
      <c r="I565" s="126"/>
      <c r="J565" s="166"/>
    </row>
    <row r="566" ht="7.5" customHeight="1">
      <c r="A566" s="126"/>
      <c r="B566" s="242"/>
      <c r="C566" s="242"/>
      <c r="D566" s="242"/>
      <c r="E566" s="165"/>
      <c r="F566" s="165"/>
      <c r="G566" s="165"/>
      <c r="H566" s="126"/>
      <c r="I566" s="126"/>
      <c r="J566" s="166"/>
    </row>
    <row r="567" ht="7.5" customHeight="1">
      <c r="A567" s="126"/>
      <c r="B567" s="242"/>
      <c r="C567" s="242"/>
      <c r="D567" s="242"/>
      <c r="E567" s="165"/>
      <c r="F567" s="165"/>
      <c r="G567" s="165"/>
      <c r="H567" s="126"/>
      <c r="I567" s="126"/>
      <c r="J567" s="166"/>
    </row>
    <row r="568" ht="7.5" customHeight="1">
      <c r="A568" s="126"/>
      <c r="B568" s="242"/>
      <c r="C568" s="242"/>
      <c r="D568" s="242"/>
      <c r="E568" s="165"/>
      <c r="F568" s="165"/>
      <c r="G568" s="165"/>
      <c r="H568" s="126"/>
      <c r="I568" s="126"/>
      <c r="J568" s="166"/>
    </row>
    <row r="569" ht="7.5" customHeight="1">
      <c r="A569" s="126"/>
      <c r="B569" s="242"/>
      <c r="C569" s="242"/>
      <c r="D569" s="242"/>
      <c r="E569" s="165"/>
      <c r="F569" s="165"/>
      <c r="G569" s="165"/>
      <c r="H569" s="126"/>
      <c r="I569" s="126"/>
      <c r="J569" s="166"/>
    </row>
    <row r="570" ht="7.5" customHeight="1">
      <c r="A570" s="126"/>
      <c r="B570" s="242"/>
      <c r="C570" s="242"/>
      <c r="D570" s="242"/>
      <c r="E570" s="165"/>
      <c r="F570" s="165"/>
      <c r="G570" s="165"/>
      <c r="H570" s="126"/>
      <c r="I570" s="126"/>
      <c r="J570" s="166"/>
    </row>
    <row r="571" ht="7.5" customHeight="1">
      <c r="A571" s="126"/>
      <c r="B571" s="242"/>
      <c r="C571" s="242"/>
      <c r="D571" s="242"/>
      <c r="E571" s="165"/>
      <c r="F571" s="165"/>
      <c r="G571" s="165"/>
      <c r="H571" s="126"/>
      <c r="I571" s="126"/>
      <c r="J571" s="166"/>
    </row>
    <row r="572" ht="7.5" customHeight="1">
      <c r="A572" s="126"/>
      <c r="B572" s="242"/>
      <c r="C572" s="242"/>
      <c r="D572" s="242"/>
      <c r="E572" s="165"/>
      <c r="F572" s="165"/>
      <c r="G572" s="165"/>
      <c r="H572" s="126"/>
      <c r="I572" s="126"/>
      <c r="J572" s="166"/>
    </row>
    <row r="573" ht="7.5" customHeight="1">
      <c r="A573" s="126"/>
      <c r="B573" s="242"/>
      <c r="C573" s="242"/>
      <c r="D573" s="242"/>
      <c r="E573" s="165"/>
      <c r="F573" s="165"/>
      <c r="G573" s="165"/>
      <c r="H573" s="126"/>
      <c r="I573" s="126"/>
      <c r="J573" s="166"/>
    </row>
    <row r="574" ht="7.5" customHeight="1">
      <c r="A574" s="126"/>
      <c r="B574" s="242"/>
      <c r="C574" s="242"/>
      <c r="D574" s="242"/>
      <c r="E574" s="165"/>
      <c r="F574" s="165"/>
      <c r="G574" s="165"/>
      <c r="H574" s="126"/>
      <c r="I574" s="126"/>
      <c r="J574" s="166"/>
    </row>
    <row r="575" ht="7.5" customHeight="1">
      <c r="A575" s="126"/>
      <c r="B575" s="242"/>
      <c r="C575" s="242"/>
      <c r="D575" s="242"/>
      <c r="E575" s="165"/>
      <c r="F575" s="165"/>
      <c r="G575" s="165"/>
      <c r="H575" s="126"/>
      <c r="I575" s="126"/>
      <c r="J575" s="166"/>
    </row>
    <row r="576" ht="7.5" customHeight="1">
      <c r="A576" s="126"/>
      <c r="B576" s="242"/>
      <c r="C576" s="242"/>
      <c r="D576" s="242"/>
      <c r="E576" s="165"/>
      <c r="F576" s="165"/>
      <c r="G576" s="165"/>
      <c r="H576" s="126"/>
      <c r="I576" s="126"/>
      <c r="J576" s="166"/>
    </row>
    <row r="577" ht="7.5" customHeight="1">
      <c r="A577" s="126"/>
      <c r="B577" s="242"/>
      <c r="C577" s="242"/>
      <c r="D577" s="242"/>
      <c r="E577" s="165"/>
      <c r="F577" s="165"/>
      <c r="G577" s="165"/>
      <c r="H577" s="126"/>
      <c r="I577" s="126"/>
      <c r="J577" s="166"/>
    </row>
    <row r="578" ht="7.5" customHeight="1">
      <c r="A578" s="126"/>
      <c r="B578" s="242"/>
      <c r="C578" s="242"/>
      <c r="D578" s="242"/>
      <c r="E578" s="165"/>
      <c r="F578" s="165"/>
      <c r="G578" s="165"/>
      <c r="H578" s="126"/>
      <c r="I578" s="126"/>
      <c r="J578" s="166"/>
    </row>
    <row r="579" ht="7.5" customHeight="1">
      <c r="A579" s="126"/>
      <c r="B579" s="242"/>
      <c r="C579" s="242"/>
      <c r="D579" s="242"/>
      <c r="E579" s="165"/>
      <c r="F579" s="165"/>
      <c r="G579" s="165"/>
      <c r="H579" s="126"/>
      <c r="I579" s="126"/>
      <c r="J579" s="166"/>
    </row>
    <row r="580" ht="7.5" customHeight="1">
      <c r="A580" s="126"/>
      <c r="B580" s="242"/>
      <c r="C580" s="242"/>
      <c r="D580" s="242"/>
      <c r="E580" s="165"/>
      <c r="F580" s="165"/>
      <c r="G580" s="165"/>
      <c r="H580" s="126"/>
      <c r="I580" s="126"/>
      <c r="J580" s="166"/>
    </row>
    <row r="581" ht="7.5" customHeight="1">
      <c r="A581" s="126"/>
      <c r="B581" s="242"/>
      <c r="C581" s="242"/>
      <c r="D581" s="242"/>
      <c r="E581" s="165"/>
      <c r="F581" s="165"/>
      <c r="G581" s="165"/>
      <c r="H581" s="126"/>
      <c r="I581" s="126"/>
      <c r="J581" s="166"/>
    </row>
    <row r="582" ht="7.5" customHeight="1">
      <c r="A582" s="126"/>
      <c r="B582" s="242"/>
      <c r="C582" s="242"/>
      <c r="D582" s="242"/>
      <c r="E582" s="165"/>
      <c r="F582" s="165"/>
      <c r="G582" s="165"/>
      <c r="H582" s="126"/>
      <c r="I582" s="126"/>
      <c r="J582" s="166"/>
    </row>
    <row r="583" ht="7.5" customHeight="1">
      <c r="A583" s="126"/>
      <c r="B583" s="242"/>
      <c r="C583" s="242"/>
      <c r="D583" s="242"/>
      <c r="E583" s="165"/>
      <c r="F583" s="165"/>
      <c r="G583" s="165"/>
      <c r="H583" s="126"/>
      <c r="I583" s="126"/>
      <c r="J583" s="166"/>
    </row>
    <row r="584" ht="7.5" customHeight="1">
      <c r="A584" s="126"/>
      <c r="B584" s="242"/>
      <c r="C584" s="242"/>
      <c r="D584" s="242"/>
      <c r="E584" s="165"/>
      <c r="F584" s="165"/>
      <c r="G584" s="165"/>
      <c r="H584" s="126"/>
      <c r="I584" s="126"/>
      <c r="J584" s="166"/>
    </row>
    <row r="585" ht="7.5" customHeight="1">
      <c r="A585" s="126"/>
      <c r="B585" s="242"/>
      <c r="C585" s="242"/>
      <c r="D585" s="242"/>
      <c r="E585" s="165"/>
      <c r="F585" s="165"/>
      <c r="G585" s="165"/>
      <c r="H585" s="126"/>
      <c r="I585" s="126"/>
      <c r="J585" s="166"/>
    </row>
    <row r="586" ht="7.5" customHeight="1">
      <c r="A586" s="126"/>
      <c r="B586" s="242"/>
      <c r="C586" s="242"/>
      <c r="D586" s="242"/>
      <c r="E586" s="165"/>
      <c r="F586" s="165"/>
      <c r="G586" s="165"/>
      <c r="H586" s="126"/>
      <c r="I586" s="126"/>
      <c r="J586" s="166"/>
    </row>
    <row r="587" ht="7.5" customHeight="1">
      <c r="A587" s="126"/>
      <c r="B587" s="242"/>
      <c r="C587" s="242"/>
      <c r="D587" s="242"/>
      <c r="E587" s="165"/>
      <c r="F587" s="165"/>
      <c r="G587" s="165"/>
      <c r="H587" s="126"/>
      <c r="I587" s="126"/>
      <c r="J587" s="166"/>
    </row>
    <row r="588" ht="7.5" customHeight="1">
      <c r="A588" s="126"/>
      <c r="B588" s="242"/>
      <c r="C588" s="242"/>
      <c r="D588" s="242"/>
      <c r="E588" s="165"/>
      <c r="F588" s="165"/>
      <c r="G588" s="165"/>
      <c r="H588" s="126"/>
      <c r="I588" s="126"/>
      <c r="J588" s="166"/>
    </row>
    <row r="589" ht="7.5" customHeight="1">
      <c r="A589" s="126"/>
      <c r="B589" s="242"/>
      <c r="C589" s="242"/>
      <c r="D589" s="242"/>
      <c r="E589" s="165"/>
      <c r="F589" s="165"/>
      <c r="G589" s="165"/>
      <c r="H589" s="126"/>
      <c r="I589" s="126"/>
      <c r="J589" s="166"/>
    </row>
    <row r="590" ht="7.5" customHeight="1">
      <c r="A590" s="126"/>
      <c r="B590" s="242"/>
      <c r="C590" s="242"/>
      <c r="D590" s="242"/>
      <c r="E590" s="165"/>
      <c r="F590" s="165"/>
      <c r="G590" s="165"/>
      <c r="H590" s="126"/>
      <c r="I590" s="126"/>
      <c r="J590" s="166"/>
    </row>
    <row r="591" ht="7.5" customHeight="1">
      <c r="A591" s="126"/>
      <c r="B591" s="242"/>
      <c r="C591" s="242"/>
      <c r="D591" s="242"/>
      <c r="E591" s="165"/>
      <c r="F591" s="165"/>
      <c r="G591" s="165"/>
      <c r="H591" s="126"/>
      <c r="I591" s="126"/>
      <c r="J591" s="166"/>
    </row>
    <row r="592" ht="7.5" customHeight="1">
      <c r="A592" s="126"/>
      <c r="B592" s="242"/>
      <c r="C592" s="242"/>
      <c r="D592" s="242"/>
      <c r="E592" s="165"/>
      <c r="F592" s="165"/>
      <c r="G592" s="165"/>
      <c r="H592" s="126"/>
      <c r="I592" s="126"/>
      <c r="J592" s="166"/>
    </row>
    <row r="593" ht="7.5" customHeight="1">
      <c r="A593" s="126"/>
      <c r="B593" s="242"/>
      <c r="C593" s="242"/>
      <c r="D593" s="242"/>
      <c r="E593" s="165"/>
      <c r="F593" s="165"/>
      <c r="G593" s="165"/>
      <c r="H593" s="126"/>
      <c r="I593" s="126"/>
      <c r="J593" s="166"/>
    </row>
    <row r="594" ht="7.5" customHeight="1">
      <c r="A594" s="126"/>
      <c r="B594" s="242"/>
      <c r="C594" s="242"/>
      <c r="D594" s="242"/>
      <c r="E594" s="165"/>
      <c r="F594" s="165"/>
      <c r="G594" s="165"/>
      <c r="H594" s="126"/>
      <c r="I594" s="126"/>
      <c r="J594" s="166"/>
    </row>
    <row r="595" ht="7.5" customHeight="1">
      <c r="A595" s="126"/>
      <c r="B595" s="242"/>
      <c r="C595" s="242"/>
      <c r="D595" s="242"/>
      <c r="E595" s="165"/>
      <c r="F595" s="165"/>
      <c r="G595" s="165"/>
      <c r="H595" s="126"/>
      <c r="I595" s="126"/>
      <c r="J595" s="166"/>
    </row>
    <row r="596" ht="7.5" customHeight="1">
      <c r="A596" s="126"/>
      <c r="B596" s="242"/>
      <c r="C596" s="242"/>
      <c r="D596" s="242"/>
      <c r="E596" s="165"/>
      <c r="F596" s="165"/>
      <c r="G596" s="165"/>
      <c r="H596" s="126"/>
      <c r="I596" s="126"/>
      <c r="J596" s="166"/>
    </row>
    <row r="597" ht="7.5" customHeight="1">
      <c r="A597" s="126"/>
      <c r="B597" s="242"/>
      <c r="C597" s="242"/>
      <c r="D597" s="242"/>
      <c r="E597" s="165"/>
      <c r="F597" s="165"/>
      <c r="G597" s="165"/>
      <c r="H597" s="126"/>
      <c r="I597" s="126"/>
      <c r="J597" s="166"/>
    </row>
    <row r="598" ht="7.5" customHeight="1">
      <c r="A598" s="126"/>
      <c r="B598" s="242"/>
      <c r="C598" s="242"/>
      <c r="D598" s="242"/>
      <c r="E598" s="165"/>
      <c r="F598" s="165"/>
      <c r="G598" s="165"/>
      <c r="H598" s="126"/>
      <c r="I598" s="126"/>
      <c r="J598" s="166"/>
    </row>
    <row r="599" ht="7.5" customHeight="1">
      <c r="A599" s="126"/>
      <c r="B599" s="242"/>
      <c r="C599" s="242"/>
      <c r="D599" s="242"/>
      <c r="E599" s="165"/>
      <c r="F599" s="165"/>
      <c r="G599" s="165"/>
      <c r="H599" s="126"/>
      <c r="I599" s="126"/>
      <c r="J599" s="166"/>
    </row>
    <row r="600" ht="7.5" customHeight="1">
      <c r="A600" s="126"/>
      <c r="B600" s="242"/>
      <c r="C600" s="242"/>
      <c r="D600" s="242"/>
      <c r="E600" s="165"/>
      <c r="F600" s="165"/>
      <c r="G600" s="165"/>
      <c r="H600" s="126"/>
      <c r="I600" s="126"/>
      <c r="J600" s="166"/>
    </row>
    <row r="601" ht="7.5" customHeight="1">
      <c r="A601" s="126"/>
      <c r="B601" s="242"/>
      <c r="C601" s="242"/>
      <c r="D601" s="242"/>
      <c r="E601" s="165"/>
      <c r="F601" s="165"/>
      <c r="G601" s="165"/>
      <c r="H601" s="126"/>
      <c r="I601" s="126"/>
      <c r="J601" s="166"/>
    </row>
    <row r="602" ht="7.5" customHeight="1">
      <c r="A602" s="126"/>
      <c r="B602" s="242"/>
      <c r="C602" s="242"/>
      <c r="D602" s="242"/>
      <c r="E602" s="165"/>
      <c r="F602" s="165"/>
      <c r="G602" s="165"/>
      <c r="H602" s="126"/>
      <c r="I602" s="126"/>
      <c r="J602" s="166"/>
    </row>
    <row r="603" ht="7.5" customHeight="1">
      <c r="A603" s="126"/>
      <c r="B603" s="242"/>
      <c r="C603" s="242"/>
      <c r="D603" s="242"/>
      <c r="E603" s="165"/>
      <c r="F603" s="165"/>
      <c r="G603" s="165"/>
      <c r="H603" s="126"/>
      <c r="I603" s="126"/>
      <c r="J603" s="166"/>
    </row>
    <row r="604" ht="7.5" customHeight="1">
      <c r="A604" s="126"/>
      <c r="B604" s="242"/>
      <c r="C604" s="242"/>
      <c r="D604" s="242"/>
      <c r="E604" s="165"/>
      <c r="F604" s="165"/>
      <c r="G604" s="165"/>
      <c r="H604" s="126"/>
      <c r="I604" s="126"/>
      <c r="J604" s="166"/>
    </row>
    <row r="605" ht="7.5" customHeight="1">
      <c r="A605" s="126"/>
      <c r="B605" s="242"/>
      <c r="C605" s="242"/>
      <c r="D605" s="242"/>
      <c r="E605" s="165"/>
      <c r="F605" s="165"/>
      <c r="G605" s="165"/>
      <c r="H605" s="126"/>
      <c r="I605" s="126"/>
      <c r="J605" s="166"/>
    </row>
    <row r="606" ht="7.5" customHeight="1">
      <c r="A606" s="126"/>
      <c r="B606" s="242"/>
      <c r="C606" s="242"/>
      <c r="D606" s="242"/>
      <c r="E606" s="165"/>
      <c r="F606" s="165"/>
      <c r="G606" s="165"/>
      <c r="H606" s="126"/>
      <c r="I606" s="126"/>
      <c r="J606" s="166"/>
    </row>
    <row r="607" ht="7.5" customHeight="1">
      <c r="A607" s="126"/>
      <c r="B607" s="242"/>
      <c r="C607" s="242"/>
      <c r="D607" s="242"/>
      <c r="E607" s="165"/>
      <c r="F607" s="165"/>
      <c r="G607" s="165"/>
      <c r="H607" s="126"/>
      <c r="I607" s="126"/>
      <c r="J607" s="166"/>
    </row>
    <row r="608" ht="7.5" customHeight="1">
      <c r="A608" s="126"/>
      <c r="B608" s="242"/>
      <c r="C608" s="242"/>
      <c r="D608" s="242"/>
      <c r="E608" s="165"/>
      <c r="F608" s="165"/>
      <c r="G608" s="165"/>
      <c r="H608" s="126"/>
      <c r="I608" s="126"/>
      <c r="J608" s="166"/>
    </row>
    <row r="609" ht="7.5" customHeight="1">
      <c r="A609" s="126"/>
      <c r="B609" s="242"/>
      <c r="C609" s="242"/>
      <c r="D609" s="242"/>
      <c r="E609" s="165"/>
      <c r="F609" s="165"/>
      <c r="G609" s="165"/>
      <c r="H609" s="126"/>
      <c r="I609" s="126"/>
      <c r="J609" s="166"/>
    </row>
    <row r="610" ht="7.5" customHeight="1">
      <c r="A610" s="126"/>
      <c r="B610" s="242"/>
      <c r="C610" s="242"/>
      <c r="D610" s="242"/>
      <c r="E610" s="165"/>
      <c r="F610" s="165"/>
      <c r="G610" s="165"/>
      <c r="H610" s="126"/>
      <c r="I610" s="126"/>
      <c r="J610" s="166"/>
    </row>
    <row r="611" ht="7.5" customHeight="1">
      <c r="A611" s="126"/>
      <c r="B611" s="242"/>
      <c r="C611" s="242"/>
      <c r="D611" s="242"/>
      <c r="E611" s="165"/>
      <c r="F611" s="165"/>
      <c r="G611" s="165"/>
      <c r="H611" s="126"/>
      <c r="I611" s="126"/>
      <c r="J611" s="166"/>
    </row>
    <row r="612" ht="7.5" customHeight="1">
      <c r="A612" s="126"/>
      <c r="B612" s="242"/>
      <c r="C612" s="242"/>
      <c r="D612" s="242"/>
      <c r="E612" s="165"/>
      <c r="F612" s="165"/>
      <c r="G612" s="165"/>
      <c r="H612" s="126"/>
      <c r="I612" s="126"/>
      <c r="J612" s="166"/>
    </row>
    <row r="613" ht="7.5" customHeight="1">
      <c r="A613" s="126"/>
      <c r="B613" s="242"/>
      <c r="C613" s="242"/>
      <c r="D613" s="242"/>
      <c r="E613" s="165"/>
      <c r="F613" s="165"/>
      <c r="G613" s="165"/>
      <c r="H613" s="126"/>
      <c r="I613" s="126"/>
      <c r="J613" s="166"/>
    </row>
    <row r="614" ht="7.5" customHeight="1">
      <c r="A614" s="126"/>
      <c r="B614" s="242"/>
      <c r="C614" s="242"/>
      <c r="D614" s="242"/>
      <c r="E614" s="165"/>
      <c r="F614" s="165"/>
      <c r="G614" s="165"/>
      <c r="H614" s="126"/>
      <c r="I614" s="126"/>
      <c r="J614" s="166"/>
    </row>
    <row r="615" ht="7.5" customHeight="1">
      <c r="A615" s="126"/>
      <c r="B615" s="242"/>
      <c r="C615" s="242"/>
      <c r="D615" s="242"/>
      <c r="E615" s="165"/>
      <c r="F615" s="165"/>
      <c r="G615" s="165"/>
      <c r="H615" s="126"/>
      <c r="I615" s="126"/>
      <c r="J615" s="166"/>
    </row>
    <row r="616" ht="7.5" customHeight="1">
      <c r="A616" s="126"/>
      <c r="B616" s="242"/>
      <c r="C616" s="242"/>
      <c r="D616" s="242"/>
      <c r="E616" s="165"/>
      <c r="F616" s="165"/>
      <c r="G616" s="165"/>
      <c r="H616" s="126"/>
      <c r="I616" s="126"/>
      <c r="J616" s="166"/>
    </row>
    <row r="617" ht="7.5" customHeight="1">
      <c r="A617" s="126"/>
      <c r="B617" s="242"/>
      <c r="C617" s="242"/>
      <c r="D617" s="242"/>
      <c r="E617" s="165"/>
      <c r="F617" s="165"/>
      <c r="G617" s="165"/>
      <c r="H617" s="126"/>
      <c r="I617" s="126"/>
      <c r="J617" s="166"/>
    </row>
    <row r="618" ht="7.5" customHeight="1">
      <c r="A618" s="126"/>
      <c r="B618" s="242"/>
      <c r="C618" s="242"/>
      <c r="D618" s="242"/>
      <c r="E618" s="165"/>
      <c r="F618" s="165"/>
      <c r="G618" s="165"/>
      <c r="H618" s="126"/>
      <c r="I618" s="126"/>
      <c r="J618" s="166"/>
    </row>
    <row r="619" ht="7.5" customHeight="1">
      <c r="A619" s="126"/>
      <c r="B619" s="242"/>
      <c r="C619" s="242"/>
      <c r="D619" s="242"/>
      <c r="E619" s="165"/>
      <c r="F619" s="165"/>
      <c r="G619" s="165"/>
      <c r="H619" s="126"/>
      <c r="I619" s="126"/>
      <c r="J619" s="166"/>
    </row>
    <row r="620" ht="7.5" customHeight="1">
      <c r="A620" s="126"/>
      <c r="B620" s="242"/>
      <c r="C620" s="242"/>
      <c r="D620" s="242"/>
      <c r="E620" s="165"/>
      <c r="F620" s="165"/>
      <c r="G620" s="165"/>
      <c r="H620" s="126"/>
      <c r="I620" s="126"/>
      <c r="J620" s="166"/>
    </row>
    <row r="621" ht="7.5" customHeight="1">
      <c r="A621" s="126"/>
      <c r="B621" s="242"/>
      <c r="C621" s="242"/>
      <c r="D621" s="242"/>
      <c r="E621" s="165"/>
      <c r="F621" s="165"/>
      <c r="G621" s="165"/>
      <c r="H621" s="126"/>
      <c r="I621" s="126"/>
      <c r="J621" s="166"/>
    </row>
    <row r="622" ht="7.5" customHeight="1">
      <c r="A622" s="126"/>
      <c r="B622" s="242"/>
      <c r="C622" s="242"/>
      <c r="D622" s="242"/>
      <c r="E622" s="165"/>
      <c r="F622" s="165"/>
      <c r="G622" s="165"/>
      <c r="H622" s="126"/>
      <c r="I622" s="126"/>
      <c r="J622" s="166"/>
    </row>
    <row r="623" ht="7.5" customHeight="1">
      <c r="A623" s="126"/>
      <c r="B623" s="242"/>
      <c r="C623" s="242"/>
      <c r="D623" s="242"/>
      <c r="E623" s="165"/>
      <c r="F623" s="165"/>
      <c r="G623" s="165"/>
      <c r="H623" s="126"/>
      <c r="I623" s="126"/>
      <c r="J623" s="166"/>
    </row>
    <row r="624" ht="7.5" customHeight="1">
      <c r="A624" s="126"/>
      <c r="B624" s="242"/>
      <c r="C624" s="242"/>
      <c r="D624" s="242"/>
      <c r="E624" s="165"/>
      <c r="F624" s="165"/>
      <c r="G624" s="165"/>
      <c r="H624" s="126"/>
      <c r="I624" s="126"/>
      <c r="J624" s="166"/>
    </row>
    <row r="625" ht="7.5" customHeight="1">
      <c r="A625" s="126"/>
      <c r="B625" s="242"/>
      <c r="C625" s="242"/>
      <c r="D625" s="242"/>
      <c r="E625" s="165"/>
      <c r="F625" s="165"/>
      <c r="G625" s="165"/>
      <c r="H625" s="126"/>
      <c r="I625" s="126"/>
      <c r="J625" s="166"/>
    </row>
    <row r="626" ht="7.5" customHeight="1">
      <c r="A626" s="126"/>
      <c r="B626" s="242"/>
      <c r="C626" s="242"/>
      <c r="D626" s="242"/>
      <c r="E626" s="165"/>
      <c r="F626" s="165"/>
      <c r="G626" s="165"/>
      <c r="H626" s="126"/>
      <c r="I626" s="126"/>
      <c r="J626" s="166"/>
    </row>
    <row r="627" ht="7.5" customHeight="1">
      <c r="A627" s="126"/>
      <c r="B627" s="242"/>
      <c r="C627" s="242"/>
      <c r="D627" s="242"/>
      <c r="E627" s="165"/>
      <c r="F627" s="165"/>
      <c r="G627" s="165"/>
      <c r="H627" s="126"/>
      <c r="I627" s="126"/>
      <c r="J627" s="166"/>
    </row>
    <row r="628" ht="7.5" customHeight="1">
      <c r="A628" s="126"/>
      <c r="B628" s="242"/>
      <c r="C628" s="242"/>
      <c r="D628" s="242"/>
      <c r="E628" s="165"/>
      <c r="F628" s="165"/>
      <c r="G628" s="165"/>
      <c r="H628" s="126"/>
      <c r="I628" s="126"/>
      <c r="J628" s="166"/>
    </row>
    <row r="629" ht="7.5" customHeight="1">
      <c r="A629" s="126"/>
      <c r="B629" s="242"/>
      <c r="C629" s="242"/>
      <c r="D629" s="242"/>
      <c r="E629" s="165"/>
      <c r="F629" s="165"/>
      <c r="G629" s="165"/>
      <c r="H629" s="126"/>
      <c r="I629" s="126"/>
      <c r="J629" s="166"/>
    </row>
    <row r="630" ht="7.5" customHeight="1">
      <c r="A630" s="126"/>
      <c r="B630" s="242"/>
      <c r="C630" s="242"/>
      <c r="D630" s="242"/>
      <c r="E630" s="165"/>
      <c r="F630" s="165"/>
      <c r="G630" s="165"/>
      <c r="H630" s="126"/>
      <c r="I630" s="126"/>
      <c r="J630" s="166"/>
    </row>
    <row r="631" ht="7.5" customHeight="1">
      <c r="A631" s="126"/>
      <c r="B631" s="242"/>
      <c r="C631" s="242"/>
      <c r="D631" s="242"/>
      <c r="E631" s="165"/>
      <c r="F631" s="165"/>
      <c r="G631" s="165"/>
      <c r="H631" s="126"/>
      <c r="I631" s="126"/>
      <c r="J631" s="166"/>
    </row>
    <row r="632" ht="7.5" customHeight="1">
      <c r="A632" s="126"/>
      <c r="B632" s="242"/>
      <c r="C632" s="242"/>
      <c r="D632" s="242"/>
      <c r="E632" s="165"/>
      <c r="F632" s="165"/>
      <c r="G632" s="165"/>
      <c r="H632" s="126"/>
      <c r="I632" s="126"/>
      <c r="J632" s="166"/>
    </row>
    <row r="633" ht="7.5" customHeight="1">
      <c r="A633" s="126"/>
      <c r="B633" s="242"/>
      <c r="C633" s="242"/>
      <c r="D633" s="242"/>
      <c r="E633" s="165"/>
      <c r="F633" s="165"/>
      <c r="G633" s="165"/>
      <c r="H633" s="126"/>
      <c r="I633" s="126"/>
      <c r="J633" s="166"/>
    </row>
    <row r="634" ht="7.5" customHeight="1">
      <c r="A634" s="126"/>
      <c r="B634" s="242"/>
      <c r="C634" s="242"/>
      <c r="D634" s="242"/>
      <c r="E634" s="165"/>
      <c r="F634" s="165"/>
      <c r="G634" s="165"/>
      <c r="H634" s="126"/>
      <c r="I634" s="126"/>
      <c r="J634" s="166"/>
    </row>
    <row r="635" ht="7.5" customHeight="1">
      <c r="A635" s="126"/>
      <c r="B635" s="242"/>
      <c r="C635" s="242"/>
      <c r="D635" s="242"/>
      <c r="E635" s="165"/>
      <c r="F635" s="165"/>
      <c r="G635" s="165"/>
      <c r="H635" s="126"/>
      <c r="I635" s="126"/>
      <c r="J635" s="166"/>
    </row>
    <row r="636" ht="7.5" customHeight="1">
      <c r="A636" s="126"/>
      <c r="B636" s="242"/>
      <c r="C636" s="242"/>
      <c r="D636" s="242"/>
      <c r="E636" s="165"/>
      <c r="F636" s="165"/>
      <c r="G636" s="165"/>
      <c r="H636" s="126"/>
      <c r="I636" s="126"/>
      <c r="J636" s="166"/>
    </row>
    <row r="637" ht="7.5" customHeight="1">
      <c r="A637" s="126"/>
      <c r="B637" s="242"/>
      <c r="C637" s="242"/>
      <c r="D637" s="242"/>
      <c r="E637" s="165"/>
      <c r="F637" s="165"/>
      <c r="G637" s="165"/>
      <c r="H637" s="126"/>
      <c r="I637" s="126"/>
      <c r="J637" s="166"/>
    </row>
    <row r="638" ht="7.5" customHeight="1">
      <c r="A638" s="126"/>
      <c r="B638" s="242"/>
      <c r="C638" s="242"/>
      <c r="D638" s="242"/>
      <c r="E638" s="165"/>
      <c r="F638" s="165"/>
      <c r="G638" s="165"/>
      <c r="H638" s="126"/>
      <c r="I638" s="126"/>
      <c r="J638" s="166"/>
    </row>
    <row r="639" ht="7.5" customHeight="1">
      <c r="A639" s="126"/>
      <c r="B639" s="242"/>
      <c r="C639" s="242"/>
      <c r="D639" s="242"/>
      <c r="E639" s="165"/>
      <c r="F639" s="165"/>
      <c r="G639" s="165"/>
      <c r="H639" s="126"/>
      <c r="I639" s="126"/>
      <c r="J639" s="166"/>
    </row>
    <row r="640" ht="7.5" customHeight="1">
      <c r="A640" s="126"/>
      <c r="B640" s="242"/>
      <c r="C640" s="242"/>
      <c r="D640" s="242"/>
      <c r="E640" s="165"/>
      <c r="F640" s="165"/>
      <c r="G640" s="165"/>
      <c r="H640" s="126"/>
      <c r="I640" s="126"/>
      <c r="J640" s="166"/>
    </row>
    <row r="641" ht="7.5" customHeight="1">
      <c r="A641" s="126"/>
      <c r="B641" s="242"/>
      <c r="C641" s="242"/>
      <c r="D641" s="242"/>
      <c r="E641" s="165"/>
      <c r="F641" s="165"/>
      <c r="G641" s="165"/>
      <c r="H641" s="126"/>
      <c r="I641" s="126"/>
      <c r="J641" s="166"/>
    </row>
    <row r="642" ht="7.5" customHeight="1">
      <c r="A642" s="126"/>
      <c r="B642" s="242"/>
      <c r="C642" s="242"/>
      <c r="D642" s="242"/>
      <c r="E642" s="165"/>
      <c r="F642" s="165"/>
      <c r="G642" s="165"/>
      <c r="H642" s="126"/>
      <c r="I642" s="126"/>
      <c r="J642" s="166"/>
    </row>
    <row r="643" ht="7.5" customHeight="1">
      <c r="A643" s="126"/>
      <c r="B643" s="242"/>
      <c r="C643" s="242"/>
      <c r="D643" s="242"/>
      <c r="E643" s="165"/>
      <c r="F643" s="165"/>
      <c r="G643" s="165"/>
      <c r="H643" s="126"/>
      <c r="I643" s="126"/>
      <c r="J643" s="166"/>
    </row>
    <row r="644" ht="7.5" customHeight="1">
      <c r="A644" s="126"/>
      <c r="B644" s="242"/>
      <c r="C644" s="242"/>
      <c r="D644" s="242"/>
      <c r="E644" s="165"/>
      <c r="F644" s="165"/>
      <c r="G644" s="165"/>
      <c r="H644" s="126"/>
      <c r="I644" s="126"/>
      <c r="J644" s="166"/>
    </row>
    <row r="645" ht="7.5" customHeight="1">
      <c r="A645" s="126"/>
      <c r="B645" s="242"/>
      <c r="C645" s="242"/>
      <c r="D645" s="242"/>
      <c r="E645" s="165"/>
      <c r="F645" s="165"/>
      <c r="G645" s="165"/>
      <c r="H645" s="126"/>
      <c r="I645" s="126"/>
      <c r="J645" s="166"/>
    </row>
    <row r="646" ht="7.5" customHeight="1">
      <c r="A646" s="126"/>
      <c r="B646" s="242"/>
      <c r="C646" s="242"/>
      <c r="D646" s="242"/>
      <c r="E646" s="165"/>
      <c r="F646" s="165"/>
      <c r="G646" s="165"/>
      <c r="H646" s="126"/>
      <c r="I646" s="126"/>
      <c r="J646" s="166"/>
    </row>
    <row r="647" ht="7.5" customHeight="1">
      <c r="A647" s="126"/>
      <c r="B647" s="242"/>
      <c r="C647" s="242"/>
      <c r="D647" s="242"/>
      <c r="E647" s="165"/>
      <c r="F647" s="165"/>
      <c r="G647" s="165"/>
      <c r="H647" s="126"/>
      <c r="I647" s="126"/>
      <c r="J647" s="166"/>
    </row>
    <row r="648" ht="7.5" customHeight="1">
      <c r="A648" s="126"/>
      <c r="B648" s="242"/>
      <c r="C648" s="242"/>
      <c r="D648" s="242"/>
      <c r="E648" s="165"/>
      <c r="F648" s="165"/>
      <c r="G648" s="165"/>
      <c r="H648" s="126"/>
      <c r="I648" s="126"/>
      <c r="J648" s="166"/>
    </row>
    <row r="649" ht="7.5" customHeight="1">
      <c r="A649" s="126"/>
      <c r="B649" s="242"/>
      <c r="C649" s="242"/>
      <c r="D649" s="242"/>
      <c r="E649" s="165"/>
      <c r="F649" s="165"/>
      <c r="G649" s="165"/>
      <c r="H649" s="126"/>
      <c r="I649" s="126"/>
      <c r="J649" s="166"/>
    </row>
    <row r="650" ht="7.5" customHeight="1">
      <c r="A650" s="126"/>
      <c r="B650" s="242"/>
      <c r="C650" s="242"/>
      <c r="D650" s="242"/>
      <c r="E650" s="165"/>
      <c r="F650" s="165"/>
      <c r="G650" s="165"/>
      <c r="H650" s="126"/>
      <c r="I650" s="126"/>
      <c r="J650" s="166"/>
    </row>
    <row r="651" ht="7.5" customHeight="1">
      <c r="A651" s="126"/>
      <c r="B651" s="242"/>
      <c r="C651" s="242"/>
      <c r="D651" s="242"/>
      <c r="E651" s="165"/>
      <c r="F651" s="165"/>
      <c r="G651" s="165"/>
      <c r="H651" s="126"/>
      <c r="I651" s="126"/>
      <c r="J651" s="166"/>
    </row>
    <row r="652" ht="7.5" customHeight="1">
      <c r="A652" s="126"/>
      <c r="B652" s="242"/>
      <c r="C652" s="242"/>
      <c r="D652" s="242"/>
      <c r="E652" s="165"/>
      <c r="F652" s="165"/>
      <c r="G652" s="165"/>
      <c r="H652" s="126"/>
      <c r="I652" s="126"/>
      <c r="J652" s="166"/>
    </row>
    <row r="653" ht="7.5" customHeight="1">
      <c r="A653" s="126"/>
      <c r="B653" s="242"/>
      <c r="C653" s="242"/>
      <c r="D653" s="242"/>
      <c r="E653" s="165"/>
      <c r="F653" s="165"/>
      <c r="G653" s="165"/>
      <c r="H653" s="126"/>
      <c r="I653" s="126"/>
      <c r="J653" s="166"/>
    </row>
    <row r="654" ht="7.5" customHeight="1">
      <c r="A654" s="126"/>
      <c r="B654" s="242"/>
      <c r="C654" s="242"/>
      <c r="D654" s="242"/>
      <c r="E654" s="165"/>
      <c r="F654" s="165"/>
      <c r="G654" s="165"/>
      <c r="H654" s="126"/>
      <c r="I654" s="126"/>
      <c r="J654" s="166"/>
    </row>
    <row r="655" ht="7.5" customHeight="1">
      <c r="A655" s="126"/>
      <c r="B655" s="242"/>
      <c r="C655" s="242"/>
      <c r="D655" s="242"/>
      <c r="E655" s="165"/>
      <c r="F655" s="165"/>
      <c r="G655" s="165"/>
      <c r="H655" s="126"/>
      <c r="I655" s="126"/>
      <c r="J655" s="166"/>
    </row>
    <row r="656" ht="7.5" customHeight="1">
      <c r="A656" s="126"/>
      <c r="B656" s="242"/>
      <c r="C656" s="242"/>
      <c r="D656" s="242"/>
      <c r="E656" s="165"/>
      <c r="F656" s="165"/>
      <c r="G656" s="165"/>
      <c r="H656" s="126"/>
      <c r="I656" s="126"/>
      <c r="J656" s="166"/>
    </row>
    <row r="657" ht="7.5" customHeight="1">
      <c r="A657" s="126"/>
      <c r="B657" s="242"/>
      <c r="C657" s="242"/>
      <c r="D657" s="242"/>
      <c r="E657" s="165"/>
      <c r="F657" s="165"/>
      <c r="G657" s="165"/>
      <c r="H657" s="126"/>
      <c r="I657" s="126"/>
      <c r="J657" s="166"/>
    </row>
    <row r="658" ht="7.5" customHeight="1">
      <c r="A658" s="126"/>
      <c r="B658" s="242"/>
      <c r="C658" s="242"/>
      <c r="D658" s="242"/>
      <c r="E658" s="165"/>
      <c r="F658" s="165"/>
      <c r="G658" s="165"/>
      <c r="H658" s="126"/>
      <c r="I658" s="126"/>
      <c r="J658" s="166"/>
    </row>
    <row r="659" ht="7.5" customHeight="1">
      <c r="A659" s="126"/>
      <c r="B659" s="242"/>
      <c r="C659" s="242"/>
      <c r="D659" s="242"/>
      <c r="E659" s="165"/>
      <c r="F659" s="165"/>
      <c r="G659" s="165"/>
      <c r="H659" s="126"/>
      <c r="I659" s="126"/>
      <c r="J659" s="166"/>
    </row>
    <row r="660" ht="7.5" customHeight="1">
      <c r="A660" s="126"/>
      <c r="B660" s="242"/>
      <c r="C660" s="242"/>
      <c r="D660" s="242"/>
      <c r="E660" s="165"/>
      <c r="F660" s="165"/>
      <c r="G660" s="165"/>
      <c r="H660" s="126"/>
      <c r="I660" s="126"/>
      <c r="J660" s="166"/>
    </row>
    <row r="661" ht="7.5" customHeight="1">
      <c r="A661" s="126"/>
      <c r="B661" s="242"/>
      <c r="C661" s="242"/>
      <c r="D661" s="242"/>
      <c r="E661" s="165"/>
      <c r="F661" s="165"/>
      <c r="G661" s="165"/>
      <c r="H661" s="126"/>
      <c r="I661" s="126"/>
      <c r="J661" s="166"/>
    </row>
    <row r="662" ht="7.5" customHeight="1">
      <c r="A662" s="126"/>
      <c r="B662" s="242"/>
      <c r="C662" s="242"/>
      <c r="D662" s="242"/>
      <c r="E662" s="165"/>
      <c r="F662" s="165"/>
      <c r="G662" s="165"/>
      <c r="H662" s="126"/>
      <c r="I662" s="126"/>
      <c r="J662" s="166"/>
    </row>
    <row r="663" ht="7.5" customHeight="1">
      <c r="A663" s="126"/>
      <c r="B663" s="242"/>
      <c r="C663" s="242"/>
      <c r="D663" s="242"/>
      <c r="E663" s="165"/>
      <c r="F663" s="165"/>
      <c r="G663" s="165"/>
      <c r="H663" s="126"/>
      <c r="I663" s="126"/>
      <c r="J663" s="166"/>
    </row>
    <row r="664" ht="7.5" customHeight="1">
      <c r="A664" s="126"/>
      <c r="B664" s="242"/>
      <c r="C664" s="242"/>
      <c r="D664" s="242"/>
      <c r="E664" s="165"/>
      <c r="F664" s="165"/>
      <c r="G664" s="165"/>
      <c r="H664" s="126"/>
      <c r="I664" s="126"/>
      <c r="J664" s="166"/>
    </row>
    <row r="665" ht="7.5" customHeight="1">
      <c r="A665" s="126"/>
      <c r="B665" s="242"/>
      <c r="C665" s="242"/>
      <c r="D665" s="242"/>
      <c r="E665" s="165"/>
      <c r="F665" s="165"/>
      <c r="G665" s="165"/>
      <c r="H665" s="126"/>
      <c r="I665" s="126"/>
      <c r="J665" s="166"/>
    </row>
    <row r="666" ht="7.5" customHeight="1">
      <c r="A666" s="126"/>
      <c r="B666" s="242"/>
      <c r="C666" s="242"/>
      <c r="D666" s="242"/>
      <c r="E666" s="165"/>
      <c r="F666" s="165"/>
      <c r="G666" s="165"/>
      <c r="H666" s="126"/>
      <c r="I666" s="126"/>
      <c r="J666" s="166"/>
    </row>
    <row r="667" ht="7.5" customHeight="1">
      <c r="A667" s="126"/>
      <c r="B667" s="242"/>
      <c r="C667" s="242"/>
      <c r="D667" s="242"/>
      <c r="E667" s="165"/>
      <c r="F667" s="165"/>
      <c r="G667" s="165"/>
      <c r="H667" s="126"/>
      <c r="I667" s="126"/>
      <c r="J667" s="166"/>
    </row>
    <row r="668" ht="7.5" customHeight="1">
      <c r="A668" s="126"/>
      <c r="B668" s="242"/>
      <c r="C668" s="242"/>
      <c r="D668" s="242"/>
      <c r="E668" s="165"/>
      <c r="F668" s="165"/>
      <c r="G668" s="165"/>
      <c r="H668" s="126"/>
      <c r="I668" s="126"/>
      <c r="J668" s="166"/>
    </row>
    <row r="669" ht="7.5" customHeight="1">
      <c r="A669" s="126"/>
      <c r="B669" s="242"/>
      <c r="C669" s="242"/>
      <c r="D669" s="242"/>
      <c r="E669" s="165"/>
      <c r="F669" s="165"/>
      <c r="G669" s="165"/>
      <c r="H669" s="126"/>
      <c r="I669" s="126"/>
      <c r="J669" s="166"/>
    </row>
    <row r="670" ht="7.5" customHeight="1">
      <c r="A670" s="126"/>
      <c r="B670" s="242"/>
      <c r="C670" s="242"/>
      <c r="D670" s="242"/>
      <c r="E670" s="165"/>
      <c r="F670" s="165"/>
      <c r="G670" s="165"/>
      <c r="H670" s="126"/>
      <c r="I670" s="126"/>
      <c r="J670" s="166"/>
    </row>
    <row r="671" ht="7.5" customHeight="1">
      <c r="A671" s="126"/>
      <c r="B671" s="242"/>
      <c r="C671" s="242"/>
      <c r="D671" s="242"/>
      <c r="E671" s="165"/>
      <c r="F671" s="165"/>
      <c r="G671" s="165"/>
      <c r="H671" s="126"/>
      <c r="I671" s="126"/>
      <c r="J671" s="166"/>
    </row>
    <row r="672" ht="7.5" customHeight="1">
      <c r="A672" s="126"/>
      <c r="B672" s="242"/>
      <c r="C672" s="242"/>
      <c r="D672" s="242"/>
      <c r="E672" s="165"/>
      <c r="F672" s="165"/>
      <c r="G672" s="165"/>
      <c r="H672" s="126"/>
      <c r="I672" s="126"/>
      <c r="J672" s="166"/>
    </row>
    <row r="673" ht="7.5" customHeight="1">
      <c r="A673" s="126"/>
      <c r="B673" s="242"/>
      <c r="C673" s="242"/>
      <c r="D673" s="242"/>
      <c r="E673" s="165"/>
      <c r="F673" s="165"/>
      <c r="G673" s="165"/>
      <c r="H673" s="126"/>
      <c r="I673" s="126"/>
      <c r="J673" s="166"/>
    </row>
    <row r="674" ht="7.5" customHeight="1">
      <c r="A674" s="126"/>
      <c r="B674" s="242"/>
      <c r="C674" s="242"/>
      <c r="D674" s="242"/>
      <c r="E674" s="165"/>
      <c r="F674" s="165"/>
      <c r="G674" s="165"/>
      <c r="H674" s="126"/>
      <c r="I674" s="126"/>
      <c r="J674" s="166"/>
    </row>
    <row r="675" ht="7.5" customHeight="1">
      <c r="A675" s="126"/>
      <c r="B675" s="242"/>
      <c r="C675" s="242"/>
      <c r="D675" s="242"/>
      <c r="E675" s="165"/>
      <c r="F675" s="165"/>
      <c r="G675" s="165"/>
      <c r="H675" s="126"/>
      <c r="I675" s="126"/>
      <c r="J675" s="166"/>
    </row>
    <row r="676" ht="7.5" customHeight="1">
      <c r="A676" s="126"/>
      <c r="B676" s="242"/>
      <c r="C676" s="242"/>
      <c r="D676" s="242"/>
      <c r="E676" s="165"/>
      <c r="F676" s="165"/>
      <c r="G676" s="165"/>
      <c r="H676" s="126"/>
      <c r="I676" s="126"/>
      <c r="J676" s="166"/>
    </row>
    <row r="677" ht="7.5" customHeight="1">
      <c r="A677" s="126"/>
      <c r="B677" s="242"/>
      <c r="C677" s="242"/>
      <c r="D677" s="242"/>
      <c r="E677" s="165"/>
      <c r="F677" s="165"/>
      <c r="G677" s="165"/>
      <c r="H677" s="126"/>
      <c r="I677" s="126"/>
      <c r="J677" s="166"/>
    </row>
    <row r="678" ht="7.5" customHeight="1">
      <c r="A678" s="126"/>
      <c r="B678" s="242"/>
      <c r="C678" s="242"/>
      <c r="D678" s="242"/>
      <c r="E678" s="165"/>
      <c r="F678" s="165"/>
      <c r="G678" s="165"/>
      <c r="H678" s="126"/>
      <c r="I678" s="126"/>
      <c r="J678" s="166"/>
    </row>
    <row r="679" ht="7.5" customHeight="1">
      <c r="A679" s="126"/>
      <c r="B679" s="242"/>
      <c r="C679" s="242"/>
      <c r="D679" s="242"/>
      <c r="E679" s="165"/>
      <c r="F679" s="165"/>
      <c r="G679" s="165"/>
      <c r="H679" s="126"/>
      <c r="I679" s="126"/>
      <c r="J679" s="166"/>
    </row>
    <row r="680" ht="7.5" customHeight="1">
      <c r="A680" s="126"/>
      <c r="B680" s="242"/>
      <c r="C680" s="242"/>
      <c r="D680" s="242"/>
      <c r="E680" s="165"/>
      <c r="F680" s="165"/>
      <c r="G680" s="165"/>
      <c r="H680" s="126"/>
      <c r="I680" s="126"/>
      <c r="J680" s="166"/>
    </row>
    <row r="681" ht="7.5" customHeight="1">
      <c r="A681" s="126"/>
      <c r="B681" s="242"/>
      <c r="C681" s="242"/>
      <c r="D681" s="242"/>
      <c r="E681" s="165"/>
      <c r="F681" s="165"/>
      <c r="G681" s="165"/>
      <c r="H681" s="126"/>
      <c r="I681" s="126"/>
      <c r="J681" s="166"/>
    </row>
    <row r="682" ht="7.5" customHeight="1">
      <c r="A682" s="126"/>
      <c r="B682" s="242"/>
      <c r="C682" s="242"/>
      <c r="D682" s="242"/>
      <c r="E682" s="165"/>
      <c r="F682" s="165"/>
      <c r="G682" s="165"/>
      <c r="H682" s="126"/>
      <c r="I682" s="126"/>
      <c r="J682" s="166"/>
    </row>
    <row r="683" ht="7.5" customHeight="1">
      <c r="A683" s="126"/>
      <c r="B683" s="242"/>
      <c r="C683" s="242"/>
      <c r="D683" s="242"/>
      <c r="E683" s="165"/>
      <c r="F683" s="165"/>
      <c r="G683" s="165"/>
      <c r="H683" s="126"/>
      <c r="I683" s="126"/>
      <c r="J683" s="166"/>
    </row>
    <row r="684" ht="7.5" customHeight="1">
      <c r="A684" s="126"/>
      <c r="B684" s="242"/>
      <c r="C684" s="242"/>
      <c r="D684" s="242"/>
      <c r="E684" s="165"/>
      <c r="F684" s="165"/>
      <c r="G684" s="165"/>
      <c r="H684" s="126"/>
      <c r="I684" s="126"/>
      <c r="J684" s="166"/>
    </row>
    <row r="685" ht="7.5" customHeight="1">
      <c r="A685" s="126"/>
      <c r="B685" s="242"/>
      <c r="C685" s="242"/>
      <c r="D685" s="242"/>
      <c r="E685" s="165"/>
      <c r="F685" s="165"/>
      <c r="G685" s="165"/>
      <c r="H685" s="126"/>
      <c r="I685" s="126"/>
      <c r="J685" s="166"/>
    </row>
    <row r="686" ht="7.5" customHeight="1">
      <c r="A686" s="126"/>
      <c r="B686" s="242"/>
      <c r="C686" s="242"/>
      <c r="D686" s="242"/>
      <c r="E686" s="165"/>
      <c r="F686" s="165"/>
      <c r="G686" s="165"/>
      <c r="H686" s="126"/>
      <c r="I686" s="126"/>
      <c r="J686" s="166"/>
    </row>
    <row r="687" ht="7.5" customHeight="1">
      <c r="A687" s="126"/>
      <c r="B687" s="242"/>
      <c r="C687" s="242"/>
      <c r="D687" s="242"/>
      <c r="E687" s="165"/>
      <c r="F687" s="165"/>
      <c r="G687" s="165"/>
      <c r="H687" s="126"/>
      <c r="I687" s="126"/>
      <c r="J687" s="166"/>
    </row>
    <row r="688" ht="7.5" customHeight="1">
      <c r="A688" s="126"/>
      <c r="B688" s="242"/>
      <c r="C688" s="242"/>
      <c r="D688" s="242"/>
      <c r="E688" s="165"/>
      <c r="F688" s="165"/>
      <c r="G688" s="165"/>
      <c r="H688" s="126"/>
      <c r="I688" s="126"/>
      <c r="J688" s="166"/>
    </row>
    <row r="689" ht="7.5" customHeight="1">
      <c r="A689" s="126"/>
      <c r="B689" s="242"/>
      <c r="C689" s="242"/>
      <c r="D689" s="242"/>
      <c r="E689" s="165"/>
      <c r="F689" s="165"/>
      <c r="G689" s="165"/>
      <c r="H689" s="126"/>
      <c r="I689" s="126"/>
      <c r="J689" s="166"/>
    </row>
    <row r="690" ht="7.5" customHeight="1">
      <c r="A690" s="126"/>
      <c r="B690" s="242"/>
      <c r="C690" s="242"/>
      <c r="D690" s="242"/>
      <c r="E690" s="165"/>
      <c r="F690" s="165"/>
      <c r="G690" s="165"/>
      <c r="H690" s="126"/>
      <c r="I690" s="126"/>
      <c r="J690" s="166"/>
    </row>
    <row r="691" ht="7.5" customHeight="1">
      <c r="A691" s="126"/>
      <c r="B691" s="242"/>
      <c r="C691" s="242"/>
      <c r="D691" s="242"/>
      <c r="E691" s="165"/>
      <c r="F691" s="165"/>
      <c r="G691" s="165"/>
      <c r="H691" s="126"/>
      <c r="I691" s="126"/>
      <c r="J691" s="166"/>
    </row>
    <row r="692" ht="7.5" customHeight="1">
      <c r="A692" s="126"/>
      <c r="B692" s="242"/>
      <c r="C692" s="242"/>
      <c r="D692" s="242"/>
      <c r="E692" s="165"/>
      <c r="F692" s="165"/>
      <c r="G692" s="165"/>
      <c r="H692" s="126"/>
      <c r="I692" s="126"/>
      <c r="J692" s="166"/>
    </row>
    <row r="693" ht="7.5" customHeight="1">
      <c r="A693" s="126"/>
      <c r="B693" s="242"/>
      <c r="C693" s="242"/>
      <c r="D693" s="242"/>
      <c r="E693" s="165"/>
      <c r="F693" s="165"/>
      <c r="G693" s="165"/>
      <c r="H693" s="126"/>
      <c r="I693" s="126"/>
      <c r="J693" s="166"/>
    </row>
    <row r="694" ht="7.5" customHeight="1">
      <c r="A694" s="126"/>
      <c r="B694" s="242"/>
      <c r="C694" s="242"/>
      <c r="D694" s="242"/>
      <c r="E694" s="165"/>
      <c r="F694" s="165"/>
      <c r="G694" s="165"/>
      <c r="H694" s="126"/>
      <c r="I694" s="126"/>
      <c r="J694" s="166"/>
    </row>
    <row r="695" ht="7.5" customHeight="1">
      <c r="A695" s="126"/>
      <c r="B695" s="242"/>
      <c r="C695" s="242"/>
      <c r="D695" s="242"/>
      <c r="E695" s="165"/>
      <c r="F695" s="165"/>
      <c r="G695" s="165"/>
      <c r="H695" s="126"/>
      <c r="I695" s="126"/>
      <c r="J695" s="166"/>
    </row>
    <row r="696" ht="7.5" customHeight="1">
      <c r="A696" s="126"/>
      <c r="B696" s="242"/>
      <c r="C696" s="242"/>
      <c r="D696" s="242"/>
      <c r="E696" s="165"/>
      <c r="F696" s="165"/>
      <c r="G696" s="165"/>
      <c r="H696" s="126"/>
      <c r="I696" s="126"/>
      <c r="J696" s="166"/>
    </row>
    <row r="697" ht="7.5" customHeight="1">
      <c r="A697" s="126"/>
      <c r="B697" s="242"/>
      <c r="C697" s="242"/>
      <c r="D697" s="242"/>
      <c r="E697" s="165"/>
      <c r="F697" s="165"/>
      <c r="G697" s="165"/>
      <c r="H697" s="126"/>
      <c r="I697" s="126"/>
      <c r="J697" s="166"/>
    </row>
    <row r="698" ht="7.5" customHeight="1">
      <c r="A698" s="126"/>
      <c r="B698" s="242"/>
      <c r="C698" s="242"/>
      <c r="D698" s="242"/>
      <c r="E698" s="165"/>
      <c r="F698" s="165"/>
      <c r="G698" s="165"/>
      <c r="H698" s="126"/>
      <c r="I698" s="126"/>
      <c r="J698" s="166"/>
    </row>
    <row r="699" ht="7.5" customHeight="1">
      <c r="A699" s="126"/>
      <c r="B699" s="242"/>
      <c r="C699" s="242"/>
      <c r="D699" s="242"/>
      <c r="E699" s="165"/>
      <c r="F699" s="165"/>
      <c r="G699" s="165"/>
      <c r="H699" s="126"/>
      <c r="I699" s="126"/>
      <c r="J699" s="166"/>
    </row>
    <row r="700" ht="7.5" customHeight="1">
      <c r="A700" s="126"/>
      <c r="B700" s="242"/>
      <c r="C700" s="242"/>
      <c r="D700" s="242"/>
      <c r="E700" s="165"/>
      <c r="F700" s="165"/>
      <c r="G700" s="165"/>
      <c r="H700" s="126"/>
      <c r="I700" s="126"/>
      <c r="J700" s="166"/>
    </row>
    <row r="701" ht="7.5" customHeight="1">
      <c r="A701" s="126"/>
      <c r="B701" s="242"/>
      <c r="C701" s="242"/>
      <c r="D701" s="242"/>
      <c r="E701" s="165"/>
      <c r="F701" s="165"/>
      <c r="G701" s="165"/>
      <c r="H701" s="126"/>
      <c r="I701" s="126"/>
      <c r="J701" s="166"/>
    </row>
    <row r="702" ht="7.5" customHeight="1">
      <c r="A702" s="126"/>
      <c r="B702" s="242"/>
      <c r="C702" s="242"/>
      <c r="D702" s="242"/>
      <c r="E702" s="165"/>
      <c r="F702" s="165"/>
      <c r="G702" s="165"/>
      <c r="H702" s="126"/>
      <c r="I702" s="126"/>
      <c r="J702" s="166"/>
    </row>
    <row r="703" ht="7.5" customHeight="1">
      <c r="A703" s="126"/>
      <c r="B703" s="242"/>
      <c r="C703" s="242"/>
      <c r="D703" s="242"/>
      <c r="E703" s="165"/>
      <c r="F703" s="165"/>
      <c r="G703" s="165"/>
      <c r="H703" s="126"/>
      <c r="I703" s="126"/>
      <c r="J703" s="166"/>
    </row>
    <row r="704" ht="7.5" customHeight="1">
      <c r="A704" s="126"/>
      <c r="B704" s="242"/>
      <c r="C704" s="242"/>
      <c r="D704" s="242"/>
      <c r="E704" s="165"/>
      <c r="F704" s="165"/>
      <c r="G704" s="165"/>
      <c r="H704" s="126"/>
      <c r="I704" s="126"/>
      <c r="J704" s="166"/>
    </row>
    <row r="705" ht="7.5" customHeight="1">
      <c r="A705" s="126"/>
      <c r="B705" s="242"/>
      <c r="C705" s="242"/>
      <c r="D705" s="242"/>
      <c r="E705" s="165"/>
      <c r="F705" s="165"/>
      <c r="G705" s="165"/>
      <c r="H705" s="126"/>
      <c r="I705" s="126"/>
      <c r="J705" s="166"/>
    </row>
    <row r="706" ht="7.5" customHeight="1">
      <c r="A706" s="126"/>
      <c r="B706" s="242"/>
      <c r="C706" s="242"/>
      <c r="D706" s="242"/>
      <c r="E706" s="165"/>
      <c r="F706" s="165"/>
      <c r="G706" s="165"/>
      <c r="H706" s="126"/>
      <c r="I706" s="126"/>
      <c r="J706" s="166"/>
    </row>
    <row r="707" ht="7.5" customHeight="1">
      <c r="A707" s="126"/>
      <c r="B707" s="242"/>
      <c r="C707" s="242"/>
      <c r="D707" s="242"/>
      <c r="E707" s="165"/>
      <c r="F707" s="165"/>
      <c r="G707" s="165"/>
      <c r="H707" s="126"/>
      <c r="I707" s="126"/>
      <c r="J707" s="166"/>
    </row>
    <row r="708" ht="7.5" customHeight="1">
      <c r="A708" s="126"/>
      <c r="B708" s="242"/>
      <c r="C708" s="242"/>
      <c r="D708" s="242"/>
      <c r="E708" s="165"/>
      <c r="F708" s="165"/>
      <c r="G708" s="165"/>
      <c r="H708" s="126"/>
      <c r="I708" s="126"/>
      <c r="J708" s="166"/>
    </row>
    <row r="709" ht="7.5" customHeight="1">
      <c r="A709" s="126"/>
      <c r="B709" s="242"/>
      <c r="C709" s="242"/>
      <c r="D709" s="242"/>
      <c r="E709" s="165"/>
      <c r="F709" s="165"/>
      <c r="G709" s="165"/>
      <c r="H709" s="126"/>
      <c r="I709" s="126"/>
      <c r="J709" s="166"/>
    </row>
    <row r="710" ht="7.5" customHeight="1">
      <c r="A710" s="126"/>
      <c r="B710" s="242"/>
      <c r="C710" s="242"/>
      <c r="D710" s="242"/>
      <c r="E710" s="165"/>
      <c r="F710" s="165"/>
      <c r="G710" s="165"/>
      <c r="H710" s="126"/>
      <c r="I710" s="126"/>
      <c r="J710" s="166"/>
    </row>
    <row r="711" ht="7.5" customHeight="1">
      <c r="A711" s="126"/>
      <c r="B711" s="242"/>
      <c r="C711" s="242"/>
      <c r="D711" s="242"/>
      <c r="E711" s="165"/>
      <c r="F711" s="165"/>
      <c r="G711" s="165"/>
      <c r="H711" s="126"/>
      <c r="I711" s="126"/>
      <c r="J711" s="166"/>
    </row>
    <row r="712" ht="7.5" customHeight="1">
      <c r="A712" s="126"/>
      <c r="B712" s="242"/>
      <c r="C712" s="242"/>
      <c r="D712" s="242"/>
      <c r="E712" s="165"/>
      <c r="F712" s="165"/>
      <c r="G712" s="165"/>
      <c r="H712" s="126"/>
      <c r="I712" s="126"/>
      <c r="J712" s="166"/>
    </row>
    <row r="713" ht="7.5" customHeight="1">
      <c r="A713" s="126"/>
      <c r="B713" s="242"/>
      <c r="C713" s="242"/>
      <c r="D713" s="242"/>
      <c r="E713" s="165"/>
      <c r="F713" s="165"/>
      <c r="G713" s="165"/>
      <c r="H713" s="126"/>
      <c r="I713" s="126"/>
      <c r="J713" s="166"/>
    </row>
    <row r="714" ht="7.5" customHeight="1">
      <c r="A714" s="126"/>
      <c r="B714" s="242"/>
      <c r="C714" s="242"/>
      <c r="D714" s="242"/>
      <c r="E714" s="165"/>
      <c r="F714" s="165"/>
      <c r="G714" s="165"/>
      <c r="H714" s="126"/>
      <c r="I714" s="126"/>
      <c r="J714" s="166"/>
    </row>
    <row r="715" ht="7.5" customHeight="1">
      <c r="A715" s="126"/>
      <c r="B715" s="242"/>
      <c r="C715" s="242"/>
      <c r="D715" s="242"/>
      <c r="E715" s="165"/>
      <c r="F715" s="165"/>
      <c r="G715" s="165"/>
      <c r="H715" s="126"/>
      <c r="I715" s="126"/>
      <c r="J715" s="166"/>
    </row>
    <row r="716" ht="7.5" customHeight="1">
      <c r="A716" s="126"/>
      <c r="B716" s="242"/>
      <c r="C716" s="242"/>
      <c r="D716" s="242"/>
      <c r="E716" s="165"/>
      <c r="F716" s="165"/>
      <c r="G716" s="165"/>
      <c r="H716" s="126"/>
      <c r="I716" s="126"/>
      <c r="J716" s="166"/>
    </row>
    <row r="717" ht="7.5" customHeight="1">
      <c r="A717" s="126"/>
      <c r="B717" s="242"/>
      <c r="C717" s="242"/>
      <c r="D717" s="242"/>
      <c r="E717" s="165"/>
      <c r="F717" s="165"/>
      <c r="G717" s="165"/>
      <c r="H717" s="126"/>
      <c r="I717" s="126"/>
      <c r="J717" s="166"/>
    </row>
    <row r="718" ht="7.5" customHeight="1">
      <c r="A718" s="126"/>
      <c r="B718" s="242"/>
      <c r="C718" s="242"/>
      <c r="D718" s="242"/>
      <c r="E718" s="165"/>
      <c r="F718" s="165"/>
      <c r="G718" s="165"/>
      <c r="H718" s="126"/>
      <c r="I718" s="126"/>
      <c r="J718" s="166"/>
    </row>
    <row r="719" ht="7.5" customHeight="1">
      <c r="A719" s="126"/>
      <c r="B719" s="242"/>
      <c r="C719" s="242"/>
      <c r="D719" s="242"/>
      <c r="E719" s="165"/>
      <c r="F719" s="165"/>
      <c r="G719" s="165"/>
      <c r="H719" s="126"/>
      <c r="I719" s="126"/>
      <c r="J719" s="166"/>
    </row>
    <row r="720" ht="7.5" customHeight="1">
      <c r="A720" s="126"/>
      <c r="B720" s="242"/>
      <c r="C720" s="242"/>
      <c r="D720" s="242"/>
      <c r="E720" s="165"/>
      <c r="F720" s="165"/>
      <c r="G720" s="165"/>
      <c r="H720" s="126"/>
      <c r="I720" s="126"/>
      <c r="J720" s="166"/>
    </row>
    <row r="721" ht="7.5" customHeight="1">
      <c r="A721" s="126"/>
      <c r="B721" s="242"/>
      <c r="C721" s="242"/>
      <c r="D721" s="242"/>
      <c r="E721" s="165"/>
      <c r="F721" s="165"/>
      <c r="G721" s="165"/>
      <c r="H721" s="126"/>
      <c r="I721" s="126"/>
      <c r="J721" s="166"/>
    </row>
    <row r="722" ht="7.5" customHeight="1">
      <c r="A722" s="126"/>
      <c r="B722" s="242"/>
      <c r="C722" s="242"/>
      <c r="D722" s="242"/>
      <c r="E722" s="165"/>
      <c r="F722" s="165"/>
      <c r="G722" s="165"/>
      <c r="H722" s="126"/>
      <c r="I722" s="126"/>
      <c r="J722" s="166"/>
    </row>
    <row r="723" ht="7.5" customHeight="1">
      <c r="A723" s="126"/>
      <c r="B723" s="242"/>
      <c r="C723" s="242"/>
      <c r="D723" s="242"/>
      <c r="E723" s="165"/>
      <c r="F723" s="165"/>
      <c r="G723" s="165"/>
      <c r="H723" s="126"/>
      <c r="I723" s="126"/>
      <c r="J723" s="166"/>
    </row>
    <row r="724" ht="7.5" customHeight="1">
      <c r="A724" s="126"/>
      <c r="B724" s="242"/>
      <c r="C724" s="242"/>
      <c r="D724" s="242"/>
      <c r="E724" s="165"/>
      <c r="F724" s="165"/>
      <c r="G724" s="165"/>
      <c r="H724" s="126"/>
      <c r="I724" s="126"/>
      <c r="J724" s="166"/>
    </row>
    <row r="725" ht="7.5" customHeight="1">
      <c r="A725" s="126"/>
      <c r="B725" s="242"/>
      <c r="C725" s="242"/>
      <c r="D725" s="242"/>
      <c r="E725" s="165"/>
      <c r="F725" s="165"/>
      <c r="G725" s="165"/>
      <c r="H725" s="126"/>
      <c r="I725" s="126"/>
      <c r="J725" s="166"/>
    </row>
    <row r="726" ht="7.5" customHeight="1">
      <c r="A726" s="126"/>
      <c r="B726" s="242"/>
      <c r="C726" s="242"/>
      <c r="D726" s="242"/>
      <c r="E726" s="165"/>
      <c r="F726" s="165"/>
      <c r="G726" s="165"/>
      <c r="H726" s="126"/>
      <c r="I726" s="126"/>
      <c r="J726" s="166"/>
    </row>
    <row r="727" ht="7.5" customHeight="1">
      <c r="A727" s="126"/>
      <c r="B727" s="242"/>
      <c r="C727" s="242"/>
      <c r="D727" s="242"/>
      <c r="E727" s="165"/>
      <c r="F727" s="165"/>
      <c r="G727" s="165"/>
      <c r="H727" s="126"/>
      <c r="I727" s="126"/>
      <c r="J727" s="166"/>
    </row>
    <row r="728" ht="7.5" customHeight="1">
      <c r="A728" s="126"/>
      <c r="B728" s="242"/>
      <c r="C728" s="242"/>
      <c r="D728" s="242"/>
      <c r="E728" s="165"/>
      <c r="F728" s="165"/>
      <c r="G728" s="165"/>
      <c r="H728" s="126"/>
      <c r="I728" s="126"/>
      <c r="J728" s="166"/>
    </row>
    <row r="729" ht="7.5" customHeight="1">
      <c r="A729" s="126"/>
      <c r="B729" s="242"/>
      <c r="C729" s="242"/>
      <c r="D729" s="242"/>
      <c r="E729" s="165"/>
      <c r="F729" s="165"/>
      <c r="G729" s="165"/>
      <c r="H729" s="126"/>
      <c r="I729" s="126"/>
      <c r="J729" s="166"/>
    </row>
    <row r="730" ht="7.5" customHeight="1">
      <c r="A730" s="126"/>
      <c r="B730" s="242"/>
      <c r="C730" s="242"/>
      <c r="D730" s="242"/>
      <c r="E730" s="165"/>
      <c r="F730" s="165"/>
      <c r="G730" s="165"/>
      <c r="H730" s="126"/>
      <c r="I730" s="126"/>
      <c r="J730" s="166"/>
    </row>
    <row r="731" ht="7.5" customHeight="1">
      <c r="A731" s="126"/>
      <c r="B731" s="242"/>
      <c r="C731" s="242"/>
      <c r="D731" s="242"/>
      <c r="E731" s="165"/>
      <c r="F731" s="165"/>
      <c r="G731" s="165"/>
      <c r="H731" s="126"/>
      <c r="I731" s="126"/>
      <c r="J731" s="166"/>
    </row>
    <row r="732" ht="7.5" customHeight="1">
      <c r="A732" s="126"/>
      <c r="B732" s="242"/>
      <c r="C732" s="242"/>
      <c r="D732" s="242"/>
      <c r="E732" s="165"/>
      <c r="F732" s="165"/>
      <c r="G732" s="165"/>
      <c r="H732" s="126"/>
      <c r="I732" s="126"/>
      <c r="J732" s="166"/>
    </row>
    <row r="733" ht="7.5" customHeight="1">
      <c r="A733" s="126"/>
      <c r="B733" s="242"/>
      <c r="C733" s="242"/>
      <c r="D733" s="242"/>
      <c r="E733" s="165"/>
      <c r="F733" s="165"/>
      <c r="G733" s="165"/>
      <c r="H733" s="126"/>
      <c r="I733" s="126"/>
      <c r="J733" s="166"/>
    </row>
    <row r="734" ht="7.5" customHeight="1">
      <c r="A734" s="126"/>
      <c r="B734" s="242"/>
      <c r="C734" s="242"/>
      <c r="D734" s="242"/>
      <c r="E734" s="165"/>
      <c r="F734" s="165"/>
      <c r="G734" s="165"/>
      <c r="H734" s="126"/>
      <c r="I734" s="126"/>
      <c r="J734" s="166"/>
    </row>
    <row r="735" ht="7.5" customHeight="1">
      <c r="A735" s="126"/>
      <c r="B735" s="242"/>
      <c r="C735" s="242"/>
      <c r="D735" s="242"/>
      <c r="E735" s="165"/>
      <c r="F735" s="165"/>
      <c r="G735" s="165"/>
      <c r="H735" s="126"/>
      <c r="I735" s="126"/>
      <c r="J735" s="166"/>
    </row>
    <row r="736" ht="7.5" customHeight="1">
      <c r="A736" s="126"/>
      <c r="B736" s="242"/>
      <c r="C736" s="242"/>
      <c r="D736" s="242"/>
      <c r="E736" s="165"/>
      <c r="F736" s="165"/>
      <c r="G736" s="165"/>
      <c r="H736" s="126"/>
      <c r="I736" s="126"/>
      <c r="J736" s="166"/>
    </row>
    <row r="737" ht="7.5" customHeight="1">
      <c r="A737" s="126"/>
      <c r="B737" s="242"/>
      <c r="C737" s="242"/>
      <c r="D737" s="242"/>
      <c r="E737" s="165"/>
      <c r="F737" s="165"/>
      <c r="G737" s="165"/>
      <c r="H737" s="126"/>
      <c r="I737" s="126"/>
      <c r="J737" s="166"/>
    </row>
    <row r="738" ht="7.5" customHeight="1">
      <c r="A738" s="126"/>
      <c r="B738" s="242"/>
      <c r="C738" s="242"/>
      <c r="D738" s="242"/>
      <c r="E738" s="165"/>
      <c r="F738" s="165"/>
      <c r="G738" s="165"/>
      <c r="H738" s="126"/>
      <c r="I738" s="126"/>
      <c r="J738" s="166"/>
    </row>
    <row r="739" ht="7.5" customHeight="1">
      <c r="A739" s="126"/>
      <c r="B739" s="242"/>
      <c r="C739" s="242"/>
      <c r="D739" s="242"/>
      <c r="E739" s="165"/>
      <c r="F739" s="165"/>
      <c r="G739" s="165"/>
      <c r="H739" s="126"/>
      <c r="I739" s="126"/>
      <c r="J739" s="166"/>
    </row>
    <row r="740" ht="7.5" customHeight="1">
      <c r="A740" s="126"/>
      <c r="B740" s="242"/>
      <c r="C740" s="242"/>
      <c r="D740" s="242"/>
      <c r="E740" s="165"/>
      <c r="F740" s="165"/>
      <c r="G740" s="165"/>
      <c r="H740" s="126"/>
      <c r="I740" s="126"/>
      <c r="J740" s="166"/>
    </row>
    <row r="741" ht="7.5" customHeight="1">
      <c r="A741" s="126"/>
      <c r="B741" s="242"/>
      <c r="C741" s="242"/>
      <c r="D741" s="242"/>
      <c r="E741" s="165"/>
      <c r="F741" s="165"/>
      <c r="G741" s="165"/>
      <c r="H741" s="126"/>
      <c r="I741" s="126"/>
      <c r="J741" s="166"/>
    </row>
    <row r="742" ht="7.5" customHeight="1">
      <c r="A742" s="126"/>
      <c r="B742" s="242"/>
      <c r="C742" s="242"/>
      <c r="D742" s="242"/>
      <c r="E742" s="165"/>
      <c r="F742" s="165"/>
      <c r="G742" s="165"/>
      <c r="H742" s="126"/>
      <c r="I742" s="126"/>
      <c r="J742" s="166"/>
    </row>
    <row r="743" ht="7.5" customHeight="1">
      <c r="A743" s="126"/>
      <c r="B743" s="242"/>
      <c r="C743" s="242"/>
      <c r="D743" s="242"/>
      <c r="E743" s="165"/>
      <c r="F743" s="165"/>
      <c r="G743" s="165"/>
      <c r="H743" s="126"/>
      <c r="I743" s="126"/>
      <c r="J743" s="166"/>
    </row>
    <row r="744" ht="7.5" customHeight="1">
      <c r="A744" s="126"/>
      <c r="B744" s="242"/>
      <c r="C744" s="242"/>
      <c r="D744" s="242"/>
      <c r="E744" s="165"/>
      <c r="F744" s="165"/>
      <c r="G744" s="165"/>
      <c r="H744" s="126"/>
      <c r="I744" s="126"/>
      <c r="J744" s="166"/>
    </row>
    <row r="745" ht="7.5" customHeight="1">
      <c r="A745" s="126"/>
      <c r="B745" s="242"/>
      <c r="C745" s="242"/>
      <c r="D745" s="242"/>
      <c r="E745" s="165"/>
      <c r="F745" s="165"/>
      <c r="G745" s="165"/>
      <c r="H745" s="126"/>
      <c r="I745" s="126"/>
      <c r="J745" s="166"/>
    </row>
    <row r="746" ht="7.5" customHeight="1">
      <c r="A746" s="126"/>
      <c r="B746" s="242"/>
      <c r="C746" s="242"/>
      <c r="D746" s="242"/>
      <c r="E746" s="165"/>
      <c r="F746" s="165"/>
      <c r="G746" s="165"/>
      <c r="H746" s="126"/>
      <c r="I746" s="126"/>
      <c r="J746" s="166"/>
    </row>
    <row r="747" ht="7.5" customHeight="1">
      <c r="A747" s="126"/>
      <c r="B747" s="242"/>
      <c r="C747" s="242"/>
      <c r="D747" s="242"/>
      <c r="E747" s="165"/>
      <c r="F747" s="165"/>
      <c r="G747" s="165"/>
      <c r="H747" s="126"/>
      <c r="I747" s="126"/>
      <c r="J747" s="166"/>
    </row>
    <row r="748" ht="7.5" customHeight="1">
      <c r="A748" s="126"/>
      <c r="B748" s="242"/>
      <c r="C748" s="242"/>
      <c r="D748" s="242"/>
      <c r="E748" s="165"/>
      <c r="F748" s="165"/>
      <c r="G748" s="165"/>
      <c r="H748" s="126"/>
      <c r="I748" s="126"/>
      <c r="J748" s="166"/>
    </row>
    <row r="749" ht="7.5" customHeight="1">
      <c r="A749" s="126"/>
      <c r="B749" s="242"/>
      <c r="C749" s="242"/>
      <c r="D749" s="242"/>
      <c r="E749" s="165"/>
      <c r="F749" s="165"/>
      <c r="G749" s="165"/>
      <c r="H749" s="126"/>
      <c r="I749" s="126"/>
      <c r="J749" s="166"/>
    </row>
    <row r="750" ht="7.5" customHeight="1">
      <c r="A750" s="126"/>
      <c r="B750" s="242"/>
      <c r="C750" s="242"/>
      <c r="D750" s="242"/>
      <c r="E750" s="165"/>
      <c r="F750" s="165"/>
      <c r="G750" s="165"/>
      <c r="H750" s="126"/>
      <c r="I750" s="126"/>
      <c r="J750" s="166"/>
    </row>
    <row r="751" ht="7.5" customHeight="1">
      <c r="A751" s="126"/>
      <c r="B751" s="242"/>
      <c r="C751" s="242"/>
      <c r="D751" s="242"/>
      <c r="E751" s="165"/>
      <c r="F751" s="165"/>
      <c r="G751" s="165"/>
      <c r="H751" s="126"/>
      <c r="I751" s="126"/>
      <c r="J751" s="166"/>
    </row>
    <row r="752" ht="7.5" customHeight="1">
      <c r="A752" s="126"/>
      <c r="B752" s="242"/>
      <c r="C752" s="242"/>
      <c r="D752" s="242"/>
      <c r="E752" s="165"/>
      <c r="F752" s="165"/>
      <c r="G752" s="165"/>
      <c r="H752" s="126"/>
      <c r="I752" s="126"/>
      <c r="J752" s="166"/>
    </row>
    <row r="753" ht="7.5" customHeight="1">
      <c r="A753" s="126"/>
      <c r="B753" s="242"/>
      <c r="C753" s="242"/>
      <c r="D753" s="242"/>
      <c r="E753" s="165"/>
      <c r="F753" s="165"/>
      <c r="G753" s="165"/>
      <c r="H753" s="126"/>
      <c r="I753" s="126"/>
      <c r="J753" s="166"/>
    </row>
    <row r="754" ht="7.5" customHeight="1">
      <c r="A754" s="126"/>
      <c r="B754" s="242"/>
      <c r="C754" s="242"/>
      <c r="D754" s="242"/>
      <c r="E754" s="165"/>
      <c r="F754" s="165"/>
      <c r="G754" s="165"/>
      <c r="H754" s="126"/>
      <c r="I754" s="126"/>
      <c r="J754" s="166"/>
    </row>
    <row r="755" ht="7.5" customHeight="1">
      <c r="A755" s="126"/>
      <c r="B755" s="242"/>
      <c r="C755" s="242"/>
      <c r="D755" s="242"/>
      <c r="E755" s="165"/>
      <c r="F755" s="165"/>
      <c r="G755" s="165"/>
      <c r="H755" s="126"/>
      <c r="I755" s="126"/>
      <c r="J755" s="166"/>
    </row>
    <row r="756" ht="7.5" customHeight="1">
      <c r="A756" s="126"/>
      <c r="B756" s="242"/>
      <c r="C756" s="242"/>
      <c r="D756" s="242"/>
      <c r="E756" s="165"/>
      <c r="F756" s="165"/>
      <c r="G756" s="165"/>
      <c r="H756" s="126"/>
      <c r="I756" s="126"/>
      <c r="J756" s="166"/>
    </row>
    <row r="757" ht="7.5" customHeight="1">
      <c r="A757" s="126"/>
      <c r="B757" s="242"/>
      <c r="C757" s="242"/>
      <c r="D757" s="242"/>
      <c r="E757" s="165"/>
      <c r="F757" s="165"/>
      <c r="G757" s="165"/>
      <c r="H757" s="126"/>
      <c r="I757" s="126"/>
      <c r="J757" s="166"/>
    </row>
    <row r="758" ht="7.5" customHeight="1">
      <c r="A758" s="126"/>
      <c r="B758" s="242"/>
      <c r="C758" s="242"/>
      <c r="D758" s="242"/>
      <c r="E758" s="165"/>
      <c r="F758" s="165"/>
      <c r="G758" s="165"/>
      <c r="H758" s="126"/>
      <c r="I758" s="126"/>
      <c r="J758" s="166"/>
    </row>
    <row r="759" ht="7.5" customHeight="1">
      <c r="A759" s="126"/>
      <c r="B759" s="242"/>
      <c r="C759" s="242"/>
      <c r="D759" s="242"/>
      <c r="E759" s="165"/>
      <c r="F759" s="165"/>
      <c r="G759" s="165"/>
      <c r="H759" s="126"/>
      <c r="I759" s="126"/>
      <c r="J759" s="166"/>
    </row>
    <row r="760" ht="7.5" customHeight="1">
      <c r="A760" s="126"/>
      <c r="B760" s="242"/>
      <c r="C760" s="242"/>
      <c r="D760" s="242"/>
      <c r="E760" s="165"/>
      <c r="F760" s="165"/>
      <c r="G760" s="165"/>
      <c r="H760" s="126"/>
      <c r="I760" s="126"/>
      <c r="J760" s="166"/>
    </row>
    <row r="761" ht="7.5" customHeight="1">
      <c r="A761" s="126"/>
      <c r="B761" s="242"/>
      <c r="C761" s="242"/>
      <c r="D761" s="242"/>
      <c r="E761" s="165"/>
      <c r="F761" s="165"/>
      <c r="G761" s="165"/>
      <c r="H761" s="126"/>
      <c r="I761" s="126"/>
      <c r="J761" s="166"/>
    </row>
    <row r="762" ht="7.5" customHeight="1">
      <c r="A762" s="126"/>
      <c r="B762" s="242"/>
      <c r="C762" s="242"/>
      <c r="D762" s="242"/>
      <c r="E762" s="165"/>
      <c r="F762" s="165"/>
      <c r="G762" s="165"/>
      <c r="H762" s="126"/>
      <c r="I762" s="126"/>
      <c r="J762" s="166"/>
    </row>
    <row r="763" ht="7.5" customHeight="1">
      <c r="A763" s="126"/>
      <c r="B763" s="242"/>
      <c r="C763" s="242"/>
      <c r="D763" s="242"/>
      <c r="E763" s="165"/>
      <c r="F763" s="165"/>
      <c r="G763" s="165"/>
      <c r="H763" s="126"/>
      <c r="I763" s="126"/>
      <c r="J763" s="166"/>
    </row>
    <row r="764" ht="7.5" customHeight="1">
      <c r="A764" s="126"/>
      <c r="B764" s="242"/>
      <c r="C764" s="242"/>
      <c r="D764" s="242"/>
      <c r="E764" s="165"/>
      <c r="F764" s="165"/>
      <c r="G764" s="165"/>
      <c r="H764" s="126"/>
      <c r="I764" s="126"/>
      <c r="J764" s="166"/>
    </row>
    <row r="765" ht="7.5" customHeight="1">
      <c r="A765" s="126"/>
      <c r="B765" s="242"/>
      <c r="C765" s="242"/>
      <c r="D765" s="242"/>
      <c r="E765" s="165"/>
      <c r="F765" s="165"/>
      <c r="G765" s="165"/>
      <c r="H765" s="126"/>
      <c r="I765" s="126"/>
      <c r="J765" s="166"/>
    </row>
    <row r="766" ht="7.5" customHeight="1">
      <c r="A766" s="126"/>
      <c r="B766" s="242"/>
      <c r="C766" s="242"/>
      <c r="D766" s="242"/>
      <c r="E766" s="165"/>
      <c r="F766" s="165"/>
      <c r="G766" s="165"/>
      <c r="H766" s="126"/>
      <c r="I766" s="126"/>
      <c r="J766" s="166"/>
    </row>
    <row r="767" ht="7.5" customHeight="1">
      <c r="A767" s="126"/>
      <c r="B767" s="242"/>
      <c r="C767" s="242"/>
      <c r="D767" s="242"/>
      <c r="E767" s="165"/>
      <c r="F767" s="165"/>
      <c r="G767" s="165"/>
      <c r="H767" s="126"/>
      <c r="I767" s="126"/>
      <c r="J767" s="166"/>
    </row>
    <row r="768" ht="7.5" customHeight="1">
      <c r="A768" s="126"/>
      <c r="B768" s="242"/>
      <c r="C768" s="242"/>
      <c r="D768" s="242"/>
      <c r="E768" s="165"/>
      <c r="F768" s="165"/>
      <c r="G768" s="165"/>
      <c r="H768" s="126"/>
      <c r="I768" s="126"/>
      <c r="J768" s="166"/>
    </row>
    <row r="769" ht="7.5" customHeight="1">
      <c r="A769" s="126"/>
      <c r="B769" s="242"/>
      <c r="C769" s="242"/>
      <c r="D769" s="242"/>
      <c r="E769" s="165"/>
      <c r="F769" s="165"/>
      <c r="G769" s="165"/>
      <c r="H769" s="126"/>
      <c r="I769" s="126"/>
      <c r="J769" s="166"/>
    </row>
    <row r="770" ht="7.5" customHeight="1">
      <c r="A770" s="126"/>
      <c r="B770" s="242"/>
      <c r="C770" s="242"/>
      <c r="D770" s="242"/>
      <c r="E770" s="165"/>
      <c r="F770" s="165"/>
      <c r="G770" s="165"/>
      <c r="H770" s="126"/>
      <c r="I770" s="126"/>
      <c r="J770" s="166"/>
    </row>
    <row r="771" ht="7.5" customHeight="1">
      <c r="A771" s="126"/>
      <c r="B771" s="242"/>
      <c r="C771" s="242"/>
      <c r="D771" s="242"/>
      <c r="E771" s="165"/>
      <c r="F771" s="165"/>
      <c r="G771" s="165"/>
      <c r="H771" s="126"/>
      <c r="I771" s="126"/>
      <c r="J771" s="166"/>
    </row>
    <row r="772" ht="7.5" customHeight="1">
      <c r="A772" s="126"/>
      <c r="B772" s="242"/>
      <c r="C772" s="242"/>
      <c r="D772" s="242"/>
      <c r="E772" s="165"/>
      <c r="F772" s="165"/>
      <c r="G772" s="165"/>
      <c r="H772" s="126"/>
      <c r="I772" s="126"/>
      <c r="J772" s="166"/>
    </row>
    <row r="773" ht="7.5" customHeight="1">
      <c r="A773" s="126"/>
      <c r="B773" s="242"/>
      <c r="C773" s="242"/>
      <c r="D773" s="242"/>
      <c r="E773" s="165"/>
      <c r="F773" s="165"/>
      <c r="G773" s="165"/>
      <c r="H773" s="126"/>
      <c r="I773" s="126"/>
      <c r="J773" s="166"/>
    </row>
    <row r="774" ht="7.5" customHeight="1">
      <c r="A774" s="126"/>
      <c r="B774" s="242"/>
      <c r="C774" s="242"/>
      <c r="D774" s="242"/>
      <c r="E774" s="165"/>
      <c r="F774" s="165"/>
      <c r="G774" s="165"/>
      <c r="H774" s="126"/>
      <c r="I774" s="126"/>
      <c r="J774" s="166"/>
    </row>
    <row r="775" ht="7.5" customHeight="1">
      <c r="A775" s="126"/>
      <c r="B775" s="242"/>
      <c r="C775" s="242"/>
      <c r="D775" s="242"/>
      <c r="E775" s="165"/>
      <c r="F775" s="165"/>
      <c r="G775" s="165"/>
      <c r="H775" s="126"/>
      <c r="I775" s="126"/>
      <c r="J775" s="166"/>
    </row>
    <row r="776" ht="7.5" customHeight="1">
      <c r="A776" s="126"/>
      <c r="B776" s="242"/>
      <c r="C776" s="242"/>
      <c r="D776" s="242"/>
      <c r="E776" s="165"/>
      <c r="F776" s="165"/>
      <c r="G776" s="165"/>
      <c r="H776" s="126"/>
      <c r="I776" s="126"/>
      <c r="J776" s="166"/>
    </row>
    <row r="777" ht="7.5" customHeight="1">
      <c r="A777" s="126"/>
      <c r="B777" s="242"/>
      <c r="C777" s="242"/>
      <c r="D777" s="242"/>
      <c r="E777" s="165"/>
      <c r="F777" s="165"/>
      <c r="G777" s="165"/>
      <c r="H777" s="126"/>
      <c r="I777" s="126"/>
      <c r="J777" s="166"/>
    </row>
    <row r="778" ht="7.5" customHeight="1">
      <c r="A778" s="126"/>
      <c r="B778" s="242"/>
      <c r="C778" s="242"/>
      <c r="D778" s="242"/>
      <c r="E778" s="165"/>
      <c r="F778" s="165"/>
      <c r="G778" s="165"/>
      <c r="H778" s="126"/>
      <c r="I778" s="126"/>
      <c r="J778" s="166"/>
    </row>
    <row r="779" ht="7.5" customHeight="1">
      <c r="A779" s="126"/>
      <c r="B779" s="242"/>
      <c r="C779" s="242"/>
      <c r="D779" s="242"/>
      <c r="E779" s="165"/>
      <c r="F779" s="165"/>
      <c r="G779" s="165"/>
      <c r="H779" s="126"/>
      <c r="I779" s="126"/>
      <c r="J779" s="166"/>
    </row>
    <row r="780" ht="7.5" customHeight="1">
      <c r="A780" s="126"/>
      <c r="B780" s="242"/>
      <c r="C780" s="242"/>
      <c r="D780" s="242"/>
      <c r="E780" s="165"/>
      <c r="F780" s="165"/>
      <c r="G780" s="165"/>
      <c r="H780" s="126"/>
      <c r="I780" s="126"/>
      <c r="J780" s="166"/>
    </row>
    <row r="781" ht="7.5" customHeight="1">
      <c r="A781" s="126"/>
      <c r="B781" s="242"/>
      <c r="C781" s="242"/>
      <c r="D781" s="242"/>
      <c r="E781" s="165"/>
      <c r="F781" s="165"/>
      <c r="G781" s="165"/>
      <c r="H781" s="126"/>
      <c r="I781" s="126"/>
      <c r="J781" s="166"/>
    </row>
    <row r="782" ht="7.5" customHeight="1">
      <c r="A782" s="126"/>
      <c r="B782" s="242"/>
      <c r="C782" s="242"/>
      <c r="D782" s="242"/>
      <c r="E782" s="165"/>
      <c r="F782" s="165"/>
      <c r="G782" s="165"/>
      <c r="H782" s="126"/>
      <c r="I782" s="126"/>
      <c r="J782" s="166"/>
    </row>
    <row r="783" ht="7.5" customHeight="1">
      <c r="A783" s="126"/>
      <c r="B783" s="242"/>
      <c r="C783" s="242"/>
      <c r="D783" s="242"/>
      <c r="E783" s="165"/>
      <c r="F783" s="165"/>
      <c r="G783" s="165"/>
      <c r="H783" s="126"/>
      <c r="I783" s="126"/>
      <c r="J783" s="166"/>
    </row>
    <row r="784" ht="7.5" customHeight="1">
      <c r="A784" s="126"/>
      <c r="B784" s="242"/>
      <c r="C784" s="242"/>
      <c r="D784" s="242"/>
      <c r="E784" s="165"/>
      <c r="F784" s="165"/>
      <c r="G784" s="165"/>
      <c r="H784" s="126"/>
      <c r="I784" s="126"/>
      <c r="J784" s="166"/>
    </row>
    <row r="785" ht="7.5" customHeight="1">
      <c r="A785" s="126"/>
      <c r="B785" s="242"/>
      <c r="C785" s="242"/>
      <c r="D785" s="242"/>
      <c r="E785" s="165"/>
      <c r="F785" s="165"/>
      <c r="G785" s="165"/>
      <c r="H785" s="126"/>
      <c r="I785" s="126"/>
      <c r="J785" s="166"/>
    </row>
    <row r="786" ht="7.5" customHeight="1">
      <c r="A786" s="126"/>
      <c r="B786" s="242"/>
      <c r="C786" s="242"/>
      <c r="D786" s="242"/>
      <c r="E786" s="165"/>
      <c r="F786" s="165"/>
      <c r="G786" s="165"/>
      <c r="H786" s="126"/>
      <c r="I786" s="126"/>
      <c r="J786" s="166"/>
    </row>
    <row r="787" ht="7.5" customHeight="1">
      <c r="A787" s="126"/>
      <c r="B787" s="242"/>
      <c r="C787" s="242"/>
      <c r="D787" s="242"/>
      <c r="E787" s="165"/>
      <c r="F787" s="165"/>
      <c r="G787" s="165"/>
      <c r="H787" s="126"/>
      <c r="I787" s="126"/>
      <c r="J787" s="166"/>
    </row>
    <row r="788" ht="7.5" customHeight="1">
      <c r="A788" s="126"/>
      <c r="B788" s="242"/>
      <c r="C788" s="242"/>
      <c r="D788" s="242"/>
      <c r="E788" s="165"/>
      <c r="F788" s="165"/>
      <c r="G788" s="165"/>
      <c r="H788" s="126"/>
      <c r="I788" s="126"/>
      <c r="J788" s="166"/>
    </row>
    <row r="789" ht="7.5" customHeight="1">
      <c r="A789" s="126"/>
      <c r="B789" s="242"/>
      <c r="C789" s="242"/>
      <c r="D789" s="242"/>
      <c r="E789" s="165"/>
      <c r="F789" s="165"/>
      <c r="G789" s="165"/>
      <c r="H789" s="126"/>
      <c r="I789" s="126"/>
      <c r="J789" s="166"/>
    </row>
    <row r="790" ht="7.5" customHeight="1">
      <c r="A790" s="126"/>
      <c r="B790" s="242"/>
      <c r="C790" s="242"/>
      <c r="D790" s="242"/>
      <c r="E790" s="165"/>
      <c r="F790" s="165"/>
      <c r="G790" s="165"/>
      <c r="H790" s="126"/>
      <c r="I790" s="126"/>
      <c r="J790" s="166"/>
    </row>
    <row r="791" ht="7.5" customHeight="1">
      <c r="A791" s="126"/>
      <c r="B791" s="242"/>
      <c r="C791" s="242"/>
      <c r="D791" s="242"/>
      <c r="E791" s="165"/>
      <c r="F791" s="165"/>
      <c r="G791" s="165"/>
      <c r="H791" s="126"/>
      <c r="I791" s="126"/>
      <c r="J791" s="166"/>
    </row>
    <row r="792" ht="7.5" customHeight="1">
      <c r="A792" s="126"/>
      <c r="B792" s="242"/>
      <c r="C792" s="242"/>
      <c r="D792" s="242"/>
      <c r="E792" s="165"/>
      <c r="F792" s="165"/>
      <c r="G792" s="165"/>
      <c r="H792" s="126"/>
      <c r="I792" s="126"/>
      <c r="J792" s="166"/>
    </row>
    <row r="793" ht="7.5" customHeight="1">
      <c r="A793" s="126"/>
      <c r="B793" s="242"/>
      <c r="C793" s="242"/>
      <c r="D793" s="242"/>
      <c r="E793" s="165"/>
      <c r="F793" s="165"/>
      <c r="G793" s="165"/>
      <c r="H793" s="126"/>
      <c r="I793" s="126"/>
      <c r="J793" s="166"/>
    </row>
    <row r="794" ht="7.5" customHeight="1">
      <c r="A794" s="126"/>
      <c r="B794" s="242"/>
      <c r="C794" s="242"/>
      <c r="D794" s="242"/>
      <c r="E794" s="165"/>
      <c r="F794" s="165"/>
      <c r="G794" s="165"/>
      <c r="H794" s="126"/>
      <c r="I794" s="126"/>
      <c r="J794" s="166"/>
    </row>
    <row r="795" ht="7.5" customHeight="1">
      <c r="A795" s="126"/>
      <c r="B795" s="242"/>
      <c r="C795" s="242"/>
      <c r="D795" s="242"/>
      <c r="E795" s="165"/>
      <c r="F795" s="165"/>
      <c r="G795" s="165"/>
      <c r="H795" s="126"/>
      <c r="I795" s="126"/>
      <c r="J795" s="166"/>
    </row>
    <row r="796" ht="7.5" customHeight="1">
      <c r="A796" s="126"/>
      <c r="B796" s="242"/>
      <c r="C796" s="242"/>
      <c r="D796" s="242"/>
      <c r="E796" s="165"/>
      <c r="F796" s="165"/>
      <c r="G796" s="165"/>
      <c r="H796" s="126"/>
      <c r="I796" s="126"/>
      <c r="J796" s="166"/>
    </row>
    <row r="797" ht="7.5" customHeight="1">
      <c r="A797" s="126"/>
      <c r="B797" s="242"/>
      <c r="C797" s="242"/>
      <c r="D797" s="242"/>
      <c r="E797" s="165"/>
      <c r="F797" s="165"/>
      <c r="G797" s="165"/>
      <c r="H797" s="126"/>
      <c r="I797" s="126"/>
      <c r="J797" s="166"/>
    </row>
    <row r="798" ht="7.5" customHeight="1">
      <c r="A798" s="126"/>
      <c r="B798" s="242"/>
      <c r="C798" s="242"/>
      <c r="D798" s="242"/>
      <c r="E798" s="165"/>
      <c r="F798" s="165"/>
      <c r="G798" s="165"/>
      <c r="H798" s="126"/>
      <c r="I798" s="126"/>
      <c r="J798" s="166"/>
    </row>
    <row r="799" ht="7.5" customHeight="1">
      <c r="A799" s="126"/>
      <c r="B799" s="242"/>
      <c r="C799" s="242"/>
      <c r="D799" s="242"/>
      <c r="E799" s="165"/>
      <c r="F799" s="165"/>
      <c r="G799" s="165"/>
      <c r="H799" s="126"/>
      <c r="I799" s="126"/>
      <c r="J799" s="166"/>
    </row>
    <row r="800" ht="7.5" customHeight="1">
      <c r="A800" s="126"/>
      <c r="B800" s="242"/>
      <c r="C800" s="242"/>
      <c r="D800" s="242"/>
      <c r="E800" s="165"/>
      <c r="F800" s="165"/>
      <c r="G800" s="165"/>
      <c r="H800" s="126"/>
      <c r="I800" s="126"/>
      <c r="J800" s="166"/>
    </row>
    <row r="801" ht="7.5" customHeight="1">
      <c r="A801" s="126"/>
      <c r="B801" s="242"/>
      <c r="C801" s="242"/>
      <c r="D801" s="242"/>
      <c r="E801" s="165"/>
      <c r="F801" s="165"/>
      <c r="G801" s="165"/>
      <c r="H801" s="126"/>
      <c r="I801" s="126"/>
      <c r="J801" s="166"/>
    </row>
    <row r="802" ht="7.5" customHeight="1">
      <c r="A802" s="126"/>
      <c r="B802" s="242"/>
      <c r="C802" s="242"/>
      <c r="D802" s="242"/>
      <c r="E802" s="165"/>
      <c r="F802" s="165"/>
      <c r="G802" s="165"/>
      <c r="H802" s="126"/>
      <c r="I802" s="126"/>
      <c r="J802" s="166"/>
    </row>
    <row r="803" ht="7.5" customHeight="1">
      <c r="A803" s="126"/>
      <c r="B803" s="242"/>
      <c r="C803" s="242"/>
      <c r="D803" s="242"/>
      <c r="E803" s="165"/>
      <c r="F803" s="165"/>
      <c r="G803" s="165"/>
      <c r="H803" s="126"/>
      <c r="I803" s="126"/>
      <c r="J803" s="166"/>
    </row>
    <row r="804" ht="7.5" customHeight="1">
      <c r="A804" s="126"/>
      <c r="B804" s="242"/>
      <c r="C804" s="242"/>
      <c r="D804" s="242"/>
      <c r="E804" s="165"/>
      <c r="F804" s="165"/>
      <c r="G804" s="165"/>
      <c r="H804" s="126"/>
      <c r="I804" s="126"/>
      <c r="J804" s="166"/>
    </row>
    <row r="805" ht="7.5" customHeight="1">
      <c r="A805" s="126"/>
      <c r="B805" s="242"/>
      <c r="C805" s="242"/>
      <c r="D805" s="242"/>
      <c r="E805" s="165"/>
      <c r="F805" s="165"/>
      <c r="G805" s="165"/>
      <c r="H805" s="126"/>
      <c r="I805" s="126"/>
      <c r="J805" s="166"/>
    </row>
    <row r="806" ht="7.5" customHeight="1">
      <c r="A806" s="126"/>
      <c r="B806" s="242"/>
      <c r="C806" s="242"/>
      <c r="D806" s="242"/>
      <c r="E806" s="165"/>
      <c r="F806" s="165"/>
      <c r="G806" s="165"/>
      <c r="H806" s="126"/>
      <c r="I806" s="126"/>
      <c r="J806" s="166"/>
    </row>
    <row r="807" ht="7.5" customHeight="1">
      <c r="A807" s="126"/>
      <c r="B807" s="242"/>
      <c r="C807" s="242"/>
      <c r="D807" s="242"/>
      <c r="E807" s="165"/>
      <c r="F807" s="165"/>
      <c r="G807" s="165"/>
      <c r="H807" s="126"/>
      <c r="I807" s="126"/>
      <c r="J807" s="166"/>
    </row>
    <row r="808" ht="7.5" customHeight="1">
      <c r="A808" s="126"/>
      <c r="B808" s="242"/>
      <c r="C808" s="242"/>
      <c r="D808" s="242"/>
      <c r="E808" s="165"/>
      <c r="F808" s="165"/>
      <c r="G808" s="165"/>
      <c r="H808" s="126"/>
      <c r="I808" s="126"/>
      <c r="J808" s="166"/>
    </row>
    <row r="809" ht="7.5" customHeight="1">
      <c r="A809" s="126"/>
      <c r="B809" s="242"/>
      <c r="C809" s="242"/>
      <c r="D809" s="242"/>
      <c r="E809" s="165"/>
      <c r="F809" s="165"/>
      <c r="G809" s="165"/>
      <c r="H809" s="126"/>
      <c r="I809" s="126"/>
      <c r="J809" s="166"/>
    </row>
    <row r="810" ht="7.5" customHeight="1">
      <c r="A810" s="126"/>
      <c r="B810" s="242"/>
      <c r="C810" s="242"/>
      <c r="D810" s="242"/>
      <c r="E810" s="165"/>
      <c r="F810" s="165"/>
      <c r="G810" s="165"/>
      <c r="H810" s="126"/>
      <c r="I810" s="126"/>
      <c r="J810" s="166"/>
    </row>
    <row r="811" ht="7.5" customHeight="1">
      <c r="A811" s="126"/>
      <c r="B811" s="242"/>
      <c r="C811" s="242"/>
      <c r="D811" s="242"/>
      <c r="E811" s="165"/>
      <c r="F811" s="165"/>
      <c r="G811" s="165"/>
      <c r="H811" s="126"/>
      <c r="I811" s="126"/>
      <c r="J811" s="166"/>
    </row>
    <row r="812" ht="7.5" customHeight="1">
      <c r="A812" s="126"/>
      <c r="B812" s="242"/>
      <c r="C812" s="242"/>
      <c r="D812" s="242"/>
      <c r="E812" s="165"/>
      <c r="F812" s="165"/>
      <c r="G812" s="165"/>
      <c r="H812" s="126"/>
      <c r="I812" s="126"/>
      <c r="J812" s="166"/>
    </row>
    <row r="813" ht="7.5" customHeight="1">
      <c r="A813" s="126"/>
      <c r="B813" s="242"/>
      <c r="C813" s="242"/>
      <c r="D813" s="242"/>
      <c r="E813" s="165"/>
      <c r="F813" s="165"/>
      <c r="G813" s="165"/>
      <c r="H813" s="126"/>
      <c r="I813" s="126"/>
      <c r="J813" s="166"/>
    </row>
    <row r="814" ht="7.5" customHeight="1">
      <c r="A814" s="126"/>
      <c r="B814" s="242"/>
      <c r="C814" s="242"/>
      <c r="D814" s="242"/>
      <c r="E814" s="165"/>
      <c r="F814" s="165"/>
      <c r="G814" s="165"/>
      <c r="H814" s="126"/>
      <c r="I814" s="126"/>
      <c r="J814" s="166"/>
    </row>
    <row r="815" ht="7.5" customHeight="1">
      <c r="A815" s="126"/>
      <c r="B815" s="242"/>
      <c r="C815" s="242"/>
      <c r="D815" s="242"/>
      <c r="E815" s="165"/>
      <c r="F815" s="165"/>
      <c r="G815" s="165"/>
      <c r="H815" s="126"/>
      <c r="I815" s="126"/>
      <c r="J815" s="166"/>
    </row>
    <row r="816" ht="7.5" customHeight="1">
      <c r="A816" s="126"/>
      <c r="B816" s="242"/>
      <c r="C816" s="242"/>
      <c r="D816" s="242"/>
      <c r="E816" s="165"/>
      <c r="F816" s="165"/>
      <c r="G816" s="165"/>
      <c r="H816" s="126"/>
      <c r="I816" s="126"/>
      <c r="J816" s="166"/>
    </row>
    <row r="817" ht="7.5" customHeight="1">
      <c r="A817" s="126"/>
      <c r="B817" s="242"/>
      <c r="C817" s="242"/>
      <c r="D817" s="242"/>
      <c r="E817" s="165"/>
      <c r="F817" s="165"/>
      <c r="G817" s="165"/>
      <c r="H817" s="126"/>
      <c r="I817" s="126"/>
      <c r="J817" s="166"/>
    </row>
    <row r="818" ht="7.5" customHeight="1">
      <c r="A818" s="126"/>
      <c r="B818" s="242"/>
      <c r="C818" s="242"/>
      <c r="D818" s="242"/>
      <c r="E818" s="165"/>
      <c r="F818" s="165"/>
      <c r="G818" s="165"/>
      <c r="H818" s="126"/>
      <c r="I818" s="126"/>
      <c r="J818" s="166"/>
    </row>
    <row r="819" ht="7.5" customHeight="1">
      <c r="A819" s="126"/>
      <c r="B819" s="242"/>
      <c r="C819" s="242"/>
      <c r="D819" s="242"/>
      <c r="E819" s="165"/>
      <c r="F819" s="165"/>
      <c r="G819" s="165"/>
      <c r="H819" s="126"/>
      <c r="I819" s="126"/>
      <c r="J819" s="166"/>
    </row>
    <row r="820" ht="7.5" customHeight="1">
      <c r="A820" s="126"/>
      <c r="B820" s="242"/>
      <c r="C820" s="242"/>
      <c r="D820" s="242"/>
      <c r="E820" s="165"/>
      <c r="F820" s="165"/>
      <c r="G820" s="165"/>
      <c r="H820" s="126"/>
      <c r="I820" s="126"/>
      <c r="J820" s="166"/>
    </row>
    <row r="821" ht="7.5" customHeight="1">
      <c r="A821" s="126"/>
      <c r="B821" s="242"/>
      <c r="C821" s="242"/>
      <c r="D821" s="242"/>
      <c r="E821" s="165"/>
      <c r="F821" s="165"/>
      <c r="G821" s="165"/>
      <c r="H821" s="126"/>
      <c r="I821" s="126"/>
      <c r="J821" s="166"/>
    </row>
    <row r="822" ht="7.5" customHeight="1">
      <c r="A822" s="126"/>
      <c r="B822" s="242"/>
      <c r="C822" s="242"/>
      <c r="D822" s="242"/>
      <c r="E822" s="165"/>
      <c r="F822" s="165"/>
      <c r="G822" s="165"/>
      <c r="H822" s="126"/>
      <c r="I822" s="126"/>
      <c r="J822" s="166"/>
    </row>
    <row r="823" ht="7.5" customHeight="1">
      <c r="A823" s="126"/>
      <c r="B823" s="242"/>
      <c r="C823" s="242"/>
      <c r="D823" s="242"/>
      <c r="E823" s="165"/>
      <c r="F823" s="165"/>
      <c r="G823" s="165"/>
      <c r="H823" s="126"/>
      <c r="I823" s="126"/>
      <c r="J823" s="166"/>
    </row>
    <row r="824" ht="7.5" customHeight="1">
      <c r="A824" s="126"/>
      <c r="B824" s="242"/>
      <c r="C824" s="242"/>
      <c r="D824" s="242"/>
      <c r="E824" s="165"/>
      <c r="F824" s="165"/>
      <c r="G824" s="165"/>
      <c r="H824" s="126"/>
      <c r="I824" s="126"/>
      <c r="J824" s="166"/>
    </row>
    <row r="825" ht="7.5" customHeight="1">
      <c r="A825" s="126"/>
      <c r="B825" s="242"/>
      <c r="C825" s="242"/>
      <c r="D825" s="242"/>
      <c r="E825" s="165"/>
      <c r="F825" s="165"/>
      <c r="G825" s="165"/>
      <c r="H825" s="126"/>
      <c r="I825" s="126"/>
      <c r="J825" s="166"/>
    </row>
    <row r="826" ht="7.5" customHeight="1">
      <c r="A826" s="126"/>
      <c r="B826" s="242"/>
      <c r="C826" s="242"/>
      <c r="D826" s="242"/>
      <c r="E826" s="165"/>
      <c r="F826" s="165"/>
      <c r="G826" s="165"/>
      <c r="H826" s="126"/>
      <c r="I826" s="126"/>
      <c r="J826" s="166"/>
    </row>
    <row r="827" ht="7.5" customHeight="1">
      <c r="A827" s="126"/>
      <c r="B827" s="242"/>
      <c r="C827" s="242"/>
      <c r="D827" s="242"/>
      <c r="E827" s="165"/>
      <c r="F827" s="165"/>
      <c r="G827" s="165"/>
      <c r="H827" s="126"/>
      <c r="I827" s="126"/>
      <c r="J827" s="166"/>
    </row>
    <row r="828" ht="7.5" customHeight="1">
      <c r="A828" s="126"/>
      <c r="B828" s="242"/>
      <c r="C828" s="242"/>
      <c r="D828" s="242"/>
      <c r="E828" s="165"/>
      <c r="F828" s="165"/>
      <c r="G828" s="165"/>
      <c r="H828" s="126"/>
      <c r="I828" s="126"/>
      <c r="J828" s="166"/>
    </row>
    <row r="829" ht="7.5" customHeight="1">
      <c r="A829" s="126"/>
      <c r="B829" s="242"/>
      <c r="C829" s="242"/>
      <c r="D829" s="242"/>
      <c r="E829" s="165"/>
      <c r="F829" s="165"/>
      <c r="G829" s="165"/>
      <c r="H829" s="126"/>
      <c r="I829" s="126"/>
      <c r="J829" s="166"/>
    </row>
    <row r="830" ht="7.5" customHeight="1">
      <c r="A830" s="126"/>
      <c r="B830" s="242"/>
      <c r="C830" s="242"/>
      <c r="D830" s="242"/>
      <c r="E830" s="165"/>
      <c r="F830" s="165"/>
      <c r="G830" s="165"/>
      <c r="H830" s="126"/>
      <c r="I830" s="126"/>
      <c r="J830" s="166"/>
    </row>
    <row r="831" ht="7.5" customHeight="1">
      <c r="A831" s="126"/>
      <c r="B831" s="242"/>
      <c r="C831" s="242"/>
      <c r="D831" s="242"/>
      <c r="E831" s="165"/>
      <c r="F831" s="165"/>
      <c r="G831" s="165"/>
      <c r="H831" s="126"/>
      <c r="I831" s="126"/>
      <c r="J831" s="166"/>
    </row>
    <row r="832" ht="7.5" customHeight="1">
      <c r="A832" s="126"/>
      <c r="B832" s="242"/>
      <c r="C832" s="242"/>
      <c r="D832" s="242"/>
      <c r="E832" s="165"/>
      <c r="F832" s="165"/>
      <c r="G832" s="165"/>
      <c r="H832" s="126"/>
      <c r="I832" s="126"/>
      <c r="J832" s="166"/>
    </row>
    <row r="833" ht="7.5" customHeight="1">
      <c r="A833" s="126"/>
      <c r="B833" s="242"/>
      <c r="C833" s="242"/>
      <c r="D833" s="242"/>
      <c r="E833" s="165"/>
      <c r="F833" s="165"/>
      <c r="G833" s="165"/>
      <c r="H833" s="126"/>
      <c r="I833" s="126"/>
      <c r="J833" s="166"/>
    </row>
    <row r="834" ht="7.5" customHeight="1">
      <c r="A834" s="126"/>
      <c r="B834" s="242"/>
      <c r="C834" s="242"/>
      <c r="D834" s="242"/>
      <c r="E834" s="165"/>
      <c r="F834" s="165"/>
      <c r="G834" s="165"/>
      <c r="H834" s="126"/>
      <c r="I834" s="126"/>
      <c r="J834" s="166"/>
    </row>
    <row r="835" ht="7.5" customHeight="1">
      <c r="A835" s="126"/>
      <c r="B835" s="242"/>
      <c r="C835" s="242"/>
      <c r="D835" s="242"/>
      <c r="E835" s="165"/>
      <c r="F835" s="165"/>
      <c r="G835" s="165"/>
      <c r="H835" s="126"/>
      <c r="I835" s="126"/>
      <c r="J835" s="166"/>
    </row>
    <row r="836" ht="7.5" customHeight="1">
      <c r="A836" s="126"/>
      <c r="B836" s="242"/>
      <c r="C836" s="242"/>
      <c r="D836" s="242"/>
      <c r="E836" s="165"/>
      <c r="F836" s="165"/>
      <c r="G836" s="165"/>
      <c r="H836" s="126"/>
      <c r="I836" s="126"/>
      <c r="J836" s="166"/>
    </row>
    <row r="837" ht="7.5" customHeight="1">
      <c r="A837" s="126"/>
      <c r="B837" s="242"/>
      <c r="C837" s="242"/>
      <c r="D837" s="242"/>
      <c r="E837" s="165"/>
      <c r="F837" s="165"/>
      <c r="G837" s="165"/>
      <c r="H837" s="126"/>
      <c r="I837" s="126"/>
      <c r="J837" s="166"/>
    </row>
    <row r="838" ht="7.5" customHeight="1">
      <c r="A838" s="126"/>
      <c r="B838" s="242"/>
      <c r="C838" s="242"/>
      <c r="D838" s="242"/>
      <c r="E838" s="165"/>
      <c r="F838" s="165"/>
      <c r="G838" s="165"/>
      <c r="H838" s="126"/>
      <c r="I838" s="126"/>
      <c r="J838" s="166"/>
    </row>
    <row r="839" ht="7.5" customHeight="1">
      <c r="A839" s="126"/>
      <c r="B839" s="242"/>
      <c r="C839" s="242"/>
      <c r="D839" s="242"/>
      <c r="E839" s="165"/>
      <c r="F839" s="165"/>
      <c r="G839" s="165"/>
      <c r="H839" s="126"/>
      <c r="I839" s="126"/>
      <c r="J839" s="166"/>
    </row>
    <row r="840" ht="7.5" customHeight="1">
      <c r="A840" s="126"/>
      <c r="B840" s="242"/>
      <c r="C840" s="242"/>
      <c r="D840" s="242"/>
      <c r="E840" s="165"/>
      <c r="F840" s="165"/>
      <c r="G840" s="165"/>
      <c r="H840" s="126"/>
      <c r="I840" s="126"/>
      <c r="J840" s="166"/>
    </row>
    <row r="841" ht="7.5" customHeight="1">
      <c r="A841" s="126"/>
      <c r="B841" s="242"/>
      <c r="C841" s="242"/>
      <c r="D841" s="242"/>
      <c r="E841" s="165"/>
      <c r="F841" s="165"/>
      <c r="G841" s="165"/>
      <c r="H841" s="126"/>
      <c r="I841" s="126"/>
      <c r="J841" s="166"/>
    </row>
    <row r="842" ht="7.5" customHeight="1">
      <c r="A842" s="126"/>
      <c r="B842" s="242"/>
      <c r="C842" s="242"/>
      <c r="D842" s="242"/>
      <c r="E842" s="165"/>
      <c r="F842" s="165"/>
      <c r="G842" s="165"/>
      <c r="H842" s="126"/>
      <c r="I842" s="126"/>
      <c r="J842" s="166"/>
    </row>
    <row r="843" ht="7.5" customHeight="1">
      <c r="A843" s="126"/>
      <c r="B843" s="242"/>
      <c r="C843" s="242"/>
      <c r="D843" s="242"/>
      <c r="E843" s="165"/>
      <c r="F843" s="165"/>
      <c r="G843" s="165"/>
      <c r="H843" s="126"/>
      <c r="I843" s="126"/>
      <c r="J843" s="166"/>
    </row>
    <row r="844" ht="7.5" customHeight="1">
      <c r="A844" s="126"/>
      <c r="B844" s="242"/>
      <c r="C844" s="242"/>
      <c r="D844" s="242"/>
      <c r="E844" s="165"/>
      <c r="F844" s="165"/>
      <c r="G844" s="165"/>
      <c r="H844" s="126"/>
      <c r="I844" s="126"/>
      <c r="J844" s="166"/>
    </row>
    <row r="845" ht="7.5" customHeight="1">
      <c r="A845" s="126"/>
      <c r="B845" s="242"/>
      <c r="C845" s="242"/>
      <c r="D845" s="242"/>
      <c r="E845" s="165"/>
      <c r="F845" s="165"/>
      <c r="G845" s="165"/>
      <c r="H845" s="126"/>
      <c r="I845" s="126"/>
      <c r="J845" s="166"/>
    </row>
    <row r="846" ht="7.5" customHeight="1">
      <c r="A846" s="126"/>
      <c r="B846" s="242"/>
      <c r="C846" s="242"/>
      <c r="D846" s="242"/>
      <c r="E846" s="165"/>
      <c r="F846" s="165"/>
      <c r="G846" s="165"/>
      <c r="H846" s="126"/>
      <c r="I846" s="126"/>
      <c r="J846" s="166"/>
    </row>
    <row r="847" ht="7.5" customHeight="1">
      <c r="A847" s="126"/>
      <c r="B847" s="242"/>
      <c r="C847" s="242"/>
      <c r="D847" s="242"/>
      <c r="E847" s="165"/>
      <c r="F847" s="165"/>
      <c r="G847" s="165"/>
      <c r="H847" s="126"/>
      <c r="I847" s="126"/>
      <c r="J847" s="166"/>
    </row>
    <row r="848" ht="7.5" customHeight="1">
      <c r="A848" s="126"/>
      <c r="B848" s="242"/>
      <c r="C848" s="242"/>
      <c r="D848" s="242"/>
      <c r="E848" s="165"/>
      <c r="F848" s="165"/>
      <c r="G848" s="165"/>
      <c r="H848" s="126"/>
      <c r="I848" s="126"/>
      <c r="J848" s="166"/>
    </row>
    <row r="849" ht="7.5" customHeight="1">
      <c r="A849" s="126"/>
      <c r="B849" s="242"/>
      <c r="C849" s="242"/>
      <c r="D849" s="242"/>
      <c r="E849" s="165"/>
      <c r="F849" s="165"/>
      <c r="G849" s="165"/>
      <c r="H849" s="126"/>
      <c r="I849" s="126"/>
      <c r="J849" s="166"/>
    </row>
    <row r="850" ht="7.5" customHeight="1">
      <c r="A850" s="126"/>
      <c r="B850" s="242"/>
      <c r="C850" s="242"/>
      <c r="D850" s="242"/>
      <c r="E850" s="165"/>
      <c r="F850" s="165"/>
      <c r="G850" s="165"/>
      <c r="H850" s="126"/>
      <c r="I850" s="126"/>
      <c r="J850" s="166"/>
    </row>
    <row r="851" ht="7.5" customHeight="1">
      <c r="A851" s="126"/>
      <c r="B851" s="242"/>
      <c r="C851" s="242"/>
      <c r="D851" s="242"/>
      <c r="E851" s="165"/>
      <c r="F851" s="165"/>
      <c r="G851" s="165"/>
      <c r="H851" s="126"/>
      <c r="I851" s="126"/>
      <c r="J851" s="166"/>
    </row>
    <row r="852" ht="7.5" customHeight="1">
      <c r="A852" s="126"/>
      <c r="B852" s="242"/>
      <c r="C852" s="242"/>
      <c r="D852" s="242"/>
      <c r="E852" s="165"/>
      <c r="F852" s="165"/>
      <c r="G852" s="165"/>
      <c r="H852" s="126"/>
      <c r="I852" s="126"/>
      <c r="J852" s="166"/>
    </row>
    <row r="853" ht="7.5" customHeight="1">
      <c r="A853" s="126"/>
      <c r="B853" s="242"/>
      <c r="C853" s="242"/>
      <c r="D853" s="242"/>
      <c r="E853" s="165"/>
      <c r="F853" s="165"/>
      <c r="G853" s="165"/>
      <c r="H853" s="126"/>
      <c r="I853" s="126"/>
      <c r="J853" s="166"/>
    </row>
    <row r="854" ht="7.5" customHeight="1">
      <c r="A854" s="126"/>
      <c r="B854" s="242"/>
      <c r="C854" s="242"/>
      <c r="D854" s="242"/>
      <c r="E854" s="165"/>
      <c r="F854" s="165"/>
      <c r="G854" s="165"/>
      <c r="H854" s="126"/>
      <c r="I854" s="126"/>
      <c r="J854" s="166"/>
    </row>
    <row r="855" ht="7.5" customHeight="1">
      <c r="A855" s="126"/>
      <c r="B855" s="242"/>
      <c r="C855" s="242"/>
      <c r="D855" s="242"/>
      <c r="E855" s="165"/>
      <c r="F855" s="165"/>
      <c r="G855" s="165"/>
      <c r="H855" s="126"/>
      <c r="I855" s="126"/>
      <c r="J855" s="166"/>
    </row>
    <row r="856" ht="7.5" customHeight="1">
      <c r="A856" s="126"/>
      <c r="B856" s="242"/>
      <c r="C856" s="242"/>
      <c r="D856" s="242"/>
      <c r="E856" s="165"/>
      <c r="F856" s="165"/>
      <c r="G856" s="165"/>
      <c r="H856" s="126"/>
      <c r="I856" s="126"/>
      <c r="J856" s="166"/>
    </row>
    <row r="857" ht="7.5" customHeight="1">
      <c r="A857" s="126"/>
      <c r="B857" s="242"/>
      <c r="C857" s="242"/>
      <c r="D857" s="242"/>
      <c r="E857" s="165"/>
      <c r="F857" s="165"/>
      <c r="G857" s="165"/>
      <c r="H857" s="126"/>
      <c r="I857" s="126"/>
      <c r="J857" s="166"/>
    </row>
    <row r="858" ht="7.5" customHeight="1">
      <c r="A858" s="126"/>
      <c r="B858" s="242"/>
      <c r="C858" s="242"/>
      <c r="D858" s="242"/>
      <c r="E858" s="165"/>
      <c r="F858" s="165"/>
      <c r="G858" s="165"/>
      <c r="H858" s="126"/>
      <c r="I858" s="126"/>
      <c r="J858" s="166"/>
    </row>
    <row r="859" ht="7.5" customHeight="1">
      <c r="A859" s="126"/>
      <c r="B859" s="242"/>
      <c r="C859" s="242"/>
      <c r="D859" s="242"/>
      <c r="E859" s="165"/>
      <c r="F859" s="165"/>
      <c r="G859" s="165"/>
      <c r="H859" s="126"/>
      <c r="I859" s="126"/>
      <c r="J859" s="166"/>
    </row>
    <row r="860" ht="7.5" customHeight="1">
      <c r="A860" s="126"/>
      <c r="B860" s="242"/>
      <c r="C860" s="242"/>
      <c r="D860" s="242"/>
      <c r="E860" s="165"/>
      <c r="F860" s="165"/>
      <c r="G860" s="165"/>
      <c r="H860" s="126"/>
      <c r="I860" s="126"/>
      <c r="J860" s="166"/>
    </row>
    <row r="861" ht="7.5" customHeight="1">
      <c r="A861" s="126"/>
      <c r="B861" s="242"/>
      <c r="C861" s="242"/>
      <c r="D861" s="242"/>
      <c r="E861" s="165"/>
      <c r="F861" s="165"/>
      <c r="G861" s="165"/>
      <c r="H861" s="126"/>
      <c r="I861" s="126"/>
      <c r="J861" s="166"/>
    </row>
    <row r="862" ht="7.5" customHeight="1">
      <c r="A862" s="126"/>
      <c r="B862" s="242"/>
      <c r="C862" s="242"/>
      <c r="D862" s="242"/>
      <c r="E862" s="165"/>
      <c r="F862" s="165"/>
      <c r="G862" s="165"/>
      <c r="H862" s="126"/>
      <c r="I862" s="126"/>
      <c r="J862" s="166"/>
    </row>
    <row r="863" ht="7.5" customHeight="1">
      <c r="A863" s="126"/>
      <c r="B863" s="242"/>
      <c r="C863" s="242"/>
      <c r="D863" s="242"/>
      <c r="E863" s="165"/>
      <c r="F863" s="165"/>
      <c r="G863" s="165"/>
      <c r="H863" s="126"/>
      <c r="I863" s="126"/>
      <c r="J863" s="166"/>
    </row>
    <row r="864" ht="7.5" customHeight="1">
      <c r="A864" s="126"/>
      <c r="B864" s="242"/>
      <c r="C864" s="242"/>
      <c r="D864" s="242"/>
      <c r="E864" s="165"/>
      <c r="F864" s="165"/>
      <c r="G864" s="165"/>
      <c r="H864" s="126"/>
      <c r="I864" s="126"/>
      <c r="J864" s="166"/>
    </row>
    <row r="865" ht="7.5" customHeight="1">
      <c r="A865" s="126"/>
      <c r="B865" s="242"/>
      <c r="C865" s="242"/>
      <c r="D865" s="242"/>
      <c r="E865" s="165"/>
      <c r="F865" s="165"/>
      <c r="G865" s="165"/>
      <c r="H865" s="126"/>
      <c r="I865" s="126"/>
      <c r="J865" s="166"/>
    </row>
    <row r="866" ht="7.5" customHeight="1">
      <c r="A866" s="126"/>
      <c r="B866" s="242"/>
      <c r="C866" s="242"/>
      <c r="D866" s="242"/>
      <c r="E866" s="165"/>
      <c r="F866" s="165"/>
      <c r="G866" s="165"/>
      <c r="H866" s="126"/>
      <c r="I866" s="126"/>
      <c r="J866" s="166"/>
    </row>
    <row r="867" ht="7.5" customHeight="1">
      <c r="A867" s="126"/>
      <c r="B867" s="242"/>
      <c r="C867" s="242"/>
      <c r="D867" s="242"/>
      <c r="E867" s="165"/>
      <c r="F867" s="165"/>
      <c r="G867" s="165"/>
      <c r="H867" s="126"/>
      <c r="I867" s="126"/>
      <c r="J867" s="166"/>
    </row>
    <row r="868" ht="7.5" customHeight="1">
      <c r="A868" s="126"/>
      <c r="B868" s="242"/>
      <c r="C868" s="242"/>
      <c r="D868" s="242"/>
      <c r="E868" s="165"/>
      <c r="F868" s="165"/>
      <c r="G868" s="165"/>
      <c r="H868" s="126"/>
      <c r="I868" s="126"/>
      <c r="J868" s="166"/>
    </row>
    <row r="869" ht="7.5" customHeight="1">
      <c r="A869" s="126"/>
      <c r="B869" s="242"/>
      <c r="C869" s="242"/>
      <c r="D869" s="242"/>
      <c r="E869" s="165"/>
      <c r="F869" s="165"/>
      <c r="G869" s="165"/>
      <c r="H869" s="126"/>
      <c r="I869" s="126"/>
      <c r="J869" s="166"/>
    </row>
    <row r="870" ht="7.5" customHeight="1">
      <c r="A870" s="126"/>
      <c r="B870" s="242"/>
      <c r="C870" s="242"/>
      <c r="D870" s="242"/>
      <c r="E870" s="165"/>
      <c r="F870" s="165"/>
      <c r="G870" s="165"/>
      <c r="H870" s="126"/>
      <c r="I870" s="126"/>
      <c r="J870" s="166"/>
    </row>
    <row r="871" ht="7.5" customHeight="1">
      <c r="A871" s="126"/>
      <c r="B871" s="242"/>
      <c r="C871" s="242"/>
      <c r="D871" s="242"/>
      <c r="E871" s="165"/>
      <c r="F871" s="165"/>
      <c r="G871" s="165"/>
      <c r="H871" s="126"/>
      <c r="I871" s="126"/>
      <c r="J871" s="166"/>
    </row>
    <row r="872" ht="7.5" customHeight="1">
      <c r="A872" s="126"/>
      <c r="B872" s="242"/>
      <c r="C872" s="242"/>
      <c r="D872" s="242"/>
      <c r="E872" s="165"/>
      <c r="F872" s="165"/>
      <c r="G872" s="165"/>
      <c r="H872" s="126"/>
      <c r="I872" s="126"/>
      <c r="J872" s="166"/>
    </row>
    <row r="873" ht="7.5" customHeight="1">
      <c r="A873" s="126"/>
      <c r="B873" s="242"/>
      <c r="C873" s="242"/>
      <c r="D873" s="242"/>
      <c r="E873" s="165"/>
      <c r="F873" s="165"/>
      <c r="G873" s="165"/>
      <c r="H873" s="126"/>
      <c r="I873" s="126"/>
      <c r="J873" s="166"/>
    </row>
    <row r="874" ht="7.5" customHeight="1">
      <c r="A874" s="126"/>
      <c r="B874" s="242"/>
      <c r="C874" s="242"/>
      <c r="D874" s="242"/>
      <c r="E874" s="165"/>
      <c r="F874" s="165"/>
      <c r="G874" s="165"/>
      <c r="H874" s="126"/>
      <c r="I874" s="126"/>
      <c r="J874" s="166"/>
    </row>
    <row r="875" ht="7.5" customHeight="1">
      <c r="A875" s="126"/>
      <c r="B875" s="242"/>
      <c r="C875" s="242"/>
      <c r="D875" s="242"/>
      <c r="E875" s="165"/>
      <c r="F875" s="165"/>
      <c r="G875" s="165"/>
      <c r="H875" s="126"/>
      <c r="I875" s="126"/>
      <c r="J875" s="166"/>
    </row>
    <row r="876" ht="7.5" customHeight="1">
      <c r="A876" s="126"/>
      <c r="B876" s="242"/>
      <c r="C876" s="242"/>
      <c r="D876" s="242"/>
      <c r="E876" s="165"/>
      <c r="F876" s="165"/>
      <c r="G876" s="165"/>
      <c r="H876" s="126"/>
      <c r="I876" s="126"/>
      <c r="J876" s="166"/>
    </row>
    <row r="877" ht="7.5" customHeight="1">
      <c r="A877" s="126"/>
      <c r="B877" s="242"/>
      <c r="C877" s="242"/>
      <c r="D877" s="242"/>
      <c r="E877" s="165"/>
      <c r="F877" s="165"/>
      <c r="G877" s="165"/>
      <c r="H877" s="126"/>
      <c r="I877" s="126"/>
      <c r="J877" s="166"/>
    </row>
    <row r="878" ht="7.5" customHeight="1">
      <c r="A878" s="126"/>
      <c r="B878" s="242"/>
      <c r="C878" s="242"/>
      <c r="D878" s="242"/>
      <c r="E878" s="165"/>
      <c r="F878" s="165"/>
      <c r="G878" s="165"/>
      <c r="H878" s="126"/>
      <c r="I878" s="126"/>
      <c r="J878" s="166"/>
    </row>
    <row r="879" ht="7.5" customHeight="1">
      <c r="A879" s="126"/>
      <c r="B879" s="242"/>
      <c r="C879" s="242"/>
      <c r="D879" s="242"/>
      <c r="E879" s="165"/>
      <c r="F879" s="165"/>
      <c r="G879" s="165"/>
      <c r="H879" s="126"/>
      <c r="I879" s="126"/>
      <c r="J879" s="166"/>
    </row>
    <row r="880" ht="7.5" customHeight="1">
      <c r="A880" s="126"/>
      <c r="B880" s="242"/>
      <c r="C880" s="242"/>
      <c r="D880" s="242"/>
      <c r="E880" s="165"/>
      <c r="F880" s="165"/>
      <c r="G880" s="165"/>
      <c r="H880" s="126"/>
      <c r="I880" s="126"/>
      <c r="J880" s="166"/>
    </row>
    <row r="881" ht="7.5" customHeight="1">
      <c r="A881" s="126"/>
      <c r="B881" s="242"/>
      <c r="C881" s="242"/>
      <c r="D881" s="242"/>
      <c r="E881" s="165"/>
      <c r="F881" s="165"/>
      <c r="G881" s="165"/>
      <c r="H881" s="126"/>
      <c r="I881" s="126"/>
      <c r="J881" s="166"/>
    </row>
    <row r="882" ht="7.5" customHeight="1">
      <c r="A882" s="126"/>
      <c r="B882" s="242"/>
      <c r="C882" s="242"/>
      <c r="D882" s="242"/>
      <c r="E882" s="165"/>
      <c r="F882" s="165"/>
      <c r="G882" s="165"/>
      <c r="H882" s="126"/>
      <c r="I882" s="126"/>
      <c r="J882" s="166"/>
    </row>
    <row r="883" ht="7.5" customHeight="1">
      <c r="A883" s="126"/>
      <c r="B883" s="242"/>
      <c r="C883" s="242"/>
      <c r="D883" s="242"/>
      <c r="E883" s="165"/>
      <c r="F883" s="165"/>
      <c r="G883" s="165"/>
      <c r="H883" s="126"/>
      <c r="I883" s="126"/>
      <c r="J883" s="166"/>
    </row>
    <row r="884" ht="7.5" customHeight="1">
      <c r="A884" s="126"/>
      <c r="B884" s="242"/>
      <c r="C884" s="242"/>
      <c r="D884" s="242"/>
      <c r="E884" s="165"/>
      <c r="F884" s="165"/>
      <c r="G884" s="165"/>
      <c r="H884" s="126"/>
      <c r="I884" s="126"/>
      <c r="J884" s="166"/>
    </row>
    <row r="885" ht="7.5" customHeight="1">
      <c r="A885" s="126"/>
      <c r="B885" s="242"/>
      <c r="C885" s="242"/>
      <c r="D885" s="242"/>
      <c r="E885" s="165"/>
      <c r="F885" s="165"/>
      <c r="G885" s="165"/>
      <c r="H885" s="126"/>
      <c r="I885" s="126"/>
      <c r="J885" s="166"/>
    </row>
    <row r="886" ht="7.5" customHeight="1">
      <c r="A886" s="126"/>
      <c r="B886" s="242"/>
      <c r="C886" s="242"/>
      <c r="D886" s="242"/>
      <c r="E886" s="165"/>
      <c r="F886" s="165"/>
      <c r="G886" s="165"/>
      <c r="H886" s="126"/>
      <c r="I886" s="126"/>
      <c r="J886" s="166"/>
    </row>
    <row r="887" ht="7.5" customHeight="1">
      <c r="A887" s="126"/>
      <c r="B887" s="242"/>
      <c r="C887" s="242"/>
      <c r="D887" s="242"/>
      <c r="E887" s="165"/>
      <c r="F887" s="165"/>
      <c r="G887" s="165"/>
      <c r="H887" s="126"/>
      <c r="I887" s="126"/>
      <c r="J887" s="166"/>
    </row>
    <row r="888" ht="7.5" customHeight="1">
      <c r="A888" s="126"/>
      <c r="B888" s="242"/>
      <c r="C888" s="242"/>
      <c r="D888" s="242"/>
      <c r="E888" s="165"/>
      <c r="F888" s="165"/>
      <c r="G888" s="165"/>
      <c r="H888" s="126"/>
      <c r="I888" s="126"/>
      <c r="J888" s="166"/>
    </row>
    <row r="889" ht="7.5" customHeight="1">
      <c r="A889" s="126"/>
      <c r="B889" s="242"/>
      <c r="C889" s="242"/>
      <c r="D889" s="242"/>
      <c r="E889" s="165"/>
      <c r="F889" s="165"/>
      <c r="G889" s="165"/>
      <c r="H889" s="126"/>
      <c r="I889" s="126"/>
      <c r="J889" s="166"/>
    </row>
    <row r="890" ht="7.5" customHeight="1">
      <c r="A890" s="126"/>
      <c r="B890" s="242"/>
      <c r="C890" s="242"/>
      <c r="D890" s="242"/>
      <c r="E890" s="165"/>
      <c r="F890" s="165"/>
      <c r="G890" s="165"/>
      <c r="H890" s="126"/>
      <c r="I890" s="126"/>
      <c r="J890" s="166"/>
    </row>
    <row r="891" ht="7.5" customHeight="1">
      <c r="A891" s="126"/>
      <c r="B891" s="242"/>
      <c r="C891" s="242"/>
      <c r="D891" s="242"/>
      <c r="E891" s="165"/>
      <c r="F891" s="165"/>
      <c r="G891" s="165"/>
      <c r="H891" s="126"/>
      <c r="I891" s="126"/>
      <c r="J891" s="166"/>
    </row>
    <row r="892" ht="7.5" customHeight="1">
      <c r="A892" s="126"/>
      <c r="B892" s="242"/>
      <c r="C892" s="242"/>
      <c r="D892" s="242"/>
      <c r="E892" s="165"/>
      <c r="F892" s="165"/>
      <c r="G892" s="165"/>
      <c r="H892" s="126"/>
      <c r="I892" s="126"/>
      <c r="J892" s="166"/>
    </row>
    <row r="893" ht="7.5" customHeight="1">
      <c r="A893" s="126"/>
      <c r="B893" s="242"/>
      <c r="C893" s="242"/>
      <c r="D893" s="242"/>
      <c r="E893" s="165"/>
      <c r="F893" s="165"/>
      <c r="G893" s="165"/>
      <c r="H893" s="126"/>
      <c r="I893" s="126"/>
      <c r="J893" s="166"/>
    </row>
    <row r="894" ht="7.5" customHeight="1">
      <c r="A894" s="126"/>
      <c r="B894" s="242"/>
      <c r="C894" s="242"/>
      <c r="D894" s="242"/>
      <c r="E894" s="165"/>
      <c r="F894" s="165"/>
      <c r="G894" s="165"/>
      <c r="H894" s="126"/>
      <c r="I894" s="126"/>
      <c r="J894" s="166"/>
    </row>
    <row r="895" ht="7.5" customHeight="1">
      <c r="A895" s="126"/>
      <c r="B895" s="242"/>
      <c r="C895" s="242"/>
      <c r="D895" s="242"/>
      <c r="E895" s="165"/>
      <c r="F895" s="165"/>
      <c r="G895" s="165"/>
      <c r="H895" s="126"/>
      <c r="I895" s="126"/>
      <c r="J895" s="166"/>
    </row>
    <row r="896" ht="7.5" customHeight="1">
      <c r="A896" s="126"/>
      <c r="B896" s="242"/>
      <c r="C896" s="242"/>
      <c r="D896" s="242"/>
      <c r="E896" s="165"/>
      <c r="F896" s="165"/>
      <c r="G896" s="165"/>
      <c r="H896" s="126"/>
      <c r="I896" s="126"/>
      <c r="J896" s="166"/>
    </row>
    <row r="897" ht="7.5" customHeight="1">
      <c r="A897" s="126"/>
      <c r="B897" s="242"/>
      <c r="C897" s="242"/>
      <c r="D897" s="242"/>
      <c r="E897" s="165"/>
      <c r="F897" s="165"/>
      <c r="G897" s="165"/>
      <c r="H897" s="126"/>
      <c r="I897" s="126"/>
      <c r="J897" s="166"/>
    </row>
    <row r="898" ht="7.5" customHeight="1">
      <c r="A898" s="126"/>
      <c r="B898" s="242"/>
      <c r="C898" s="242"/>
      <c r="D898" s="242"/>
      <c r="E898" s="165"/>
      <c r="F898" s="165"/>
      <c r="G898" s="165"/>
      <c r="H898" s="126"/>
      <c r="I898" s="126"/>
      <c r="J898" s="166"/>
    </row>
    <row r="899" ht="7.5" customHeight="1">
      <c r="A899" s="126"/>
      <c r="B899" s="242"/>
      <c r="C899" s="242"/>
      <c r="D899" s="242"/>
      <c r="E899" s="165"/>
      <c r="F899" s="165"/>
      <c r="G899" s="165"/>
      <c r="H899" s="126"/>
      <c r="I899" s="126"/>
      <c r="J899" s="166"/>
    </row>
    <row r="900" ht="7.5" customHeight="1">
      <c r="A900" s="126"/>
      <c r="B900" s="242"/>
      <c r="C900" s="242"/>
      <c r="D900" s="242"/>
      <c r="E900" s="165"/>
      <c r="F900" s="165"/>
      <c r="G900" s="165"/>
      <c r="H900" s="126"/>
      <c r="I900" s="126"/>
      <c r="J900" s="166"/>
    </row>
    <row r="901" ht="7.5" customHeight="1">
      <c r="A901" s="126"/>
      <c r="B901" s="242"/>
      <c r="C901" s="242"/>
      <c r="D901" s="242"/>
      <c r="E901" s="165"/>
      <c r="F901" s="165"/>
      <c r="G901" s="165"/>
      <c r="H901" s="126"/>
      <c r="I901" s="126"/>
      <c r="J901" s="166"/>
    </row>
    <row r="902" ht="7.5" customHeight="1">
      <c r="A902" s="126"/>
      <c r="B902" s="242"/>
      <c r="C902" s="242"/>
      <c r="D902" s="242"/>
      <c r="E902" s="165"/>
      <c r="F902" s="165"/>
      <c r="G902" s="165"/>
      <c r="H902" s="126"/>
      <c r="I902" s="126"/>
      <c r="J902" s="166"/>
    </row>
    <row r="903" ht="7.5" customHeight="1">
      <c r="A903" s="126"/>
      <c r="B903" s="242"/>
      <c r="C903" s="242"/>
      <c r="D903" s="242"/>
      <c r="E903" s="165"/>
      <c r="F903" s="165"/>
      <c r="G903" s="165"/>
      <c r="H903" s="126"/>
      <c r="I903" s="126"/>
      <c r="J903" s="166"/>
    </row>
    <row r="904" ht="7.5" customHeight="1">
      <c r="A904" s="126"/>
      <c r="B904" s="242"/>
      <c r="C904" s="242"/>
      <c r="D904" s="242"/>
      <c r="E904" s="165"/>
      <c r="F904" s="165"/>
      <c r="G904" s="165"/>
      <c r="H904" s="126"/>
      <c r="I904" s="126"/>
      <c r="J904" s="166"/>
    </row>
    <row r="905" ht="7.5" customHeight="1">
      <c r="A905" s="126"/>
      <c r="B905" s="242"/>
      <c r="C905" s="242"/>
      <c r="D905" s="242"/>
      <c r="E905" s="165"/>
      <c r="F905" s="165"/>
      <c r="G905" s="165"/>
      <c r="H905" s="126"/>
      <c r="I905" s="126"/>
      <c r="J905" s="166"/>
    </row>
    <row r="906" ht="7.5" customHeight="1">
      <c r="A906" s="126"/>
      <c r="B906" s="242"/>
      <c r="C906" s="242"/>
      <c r="D906" s="242"/>
      <c r="E906" s="165"/>
      <c r="F906" s="165"/>
      <c r="G906" s="165"/>
      <c r="H906" s="126"/>
      <c r="I906" s="126"/>
      <c r="J906" s="166"/>
    </row>
    <row r="907" ht="7.5" customHeight="1">
      <c r="A907" s="126"/>
      <c r="B907" s="242"/>
      <c r="C907" s="242"/>
      <c r="D907" s="242"/>
      <c r="E907" s="165"/>
      <c r="F907" s="165"/>
      <c r="G907" s="165"/>
      <c r="H907" s="126"/>
      <c r="I907" s="126"/>
      <c r="J907" s="166"/>
    </row>
    <row r="908" ht="7.5" customHeight="1">
      <c r="A908" s="126"/>
      <c r="B908" s="242"/>
      <c r="C908" s="242"/>
      <c r="D908" s="242"/>
      <c r="E908" s="165"/>
      <c r="F908" s="165"/>
      <c r="G908" s="165"/>
      <c r="H908" s="126"/>
      <c r="I908" s="126"/>
      <c r="J908" s="166"/>
    </row>
    <row r="909" ht="7.5" customHeight="1">
      <c r="A909" s="126"/>
      <c r="B909" s="242"/>
      <c r="C909" s="242"/>
      <c r="D909" s="242"/>
      <c r="E909" s="165"/>
      <c r="F909" s="165"/>
      <c r="G909" s="165"/>
      <c r="H909" s="126"/>
      <c r="I909" s="126"/>
      <c r="J909" s="166"/>
    </row>
    <row r="910" ht="7.5" customHeight="1">
      <c r="A910" s="126"/>
      <c r="B910" s="242"/>
      <c r="C910" s="242"/>
      <c r="D910" s="242"/>
      <c r="E910" s="165"/>
      <c r="F910" s="165"/>
      <c r="G910" s="165"/>
      <c r="H910" s="126"/>
      <c r="I910" s="126"/>
      <c r="J910" s="166"/>
    </row>
    <row r="911" ht="7.5" customHeight="1">
      <c r="A911" s="126"/>
      <c r="B911" s="242"/>
      <c r="C911" s="242"/>
      <c r="D911" s="242"/>
      <c r="E911" s="165"/>
      <c r="F911" s="165"/>
      <c r="G911" s="165"/>
      <c r="H911" s="126"/>
      <c r="I911" s="126"/>
      <c r="J911" s="166"/>
    </row>
    <row r="912" ht="7.5" customHeight="1">
      <c r="A912" s="126"/>
      <c r="B912" s="242"/>
      <c r="C912" s="242"/>
      <c r="D912" s="242"/>
      <c r="E912" s="165"/>
      <c r="F912" s="165"/>
      <c r="G912" s="165"/>
      <c r="H912" s="126"/>
      <c r="I912" s="126"/>
      <c r="J912" s="166"/>
    </row>
    <row r="913" ht="7.5" customHeight="1">
      <c r="A913" s="126"/>
      <c r="B913" s="242"/>
      <c r="C913" s="242"/>
      <c r="D913" s="242"/>
      <c r="E913" s="165"/>
      <c r="F913" s="165"/>
      <c r="G913" s="165"/>
      <c r="H913" s="126"/>
      <c r="I913" s="126"/>
      <c r="J913" s="166"/>
    </row>
    <row r="914" ht="7.5" customHeight="1">
      <c r="A914" s="126"/>
      <c r="B914" s="242"/>
      <c r="C914" s="242"/>
      <c r="D914" s="242"/>
      <c r="E914" s="165"/>
      <c r="F914" s="165"/>
      <c r="G914" s="165"/>
      <c r="H914" s="126"/>
      <c r="I914" s="126"/>
      <c r="J914" s="166"/>
    </row>
    <row r="915" ht="7.5" customHeight="1">
      <c r="A915" s="126"/>
      <c r="B915" s="242"/>
      <c r="C915" s="242"/>
      <c r="D915" s="242"/>
      <c r="E915" s="165"/>
      <c r="F915" s="165"/>
      <c r="G915" s="165"/>
      <c r="H915" s="126"/>
      <c r="I915" s="126"/>
      <c r="J915" s="166"/>
    </row>
    <row r="916" ht="7.5" customHeight="1">
      <c r="A916" s="126"/>
      <c r="B916" s="242"/>
      <c r="C916" s="242"/>
      <c r="D916" s="242"/>
      <c r="E916" s="165"/>
      <c r="F916" s="165"/>
      <c r="G916" s="165"/>
      <c r="H916" s="126"/>
      <c r="I916" s="126"/>
      <c r="J916" s="166"/>
    </row>
    <row r="917" ht="7.5" customHeight="1">
      <c r="A917" s="126"/>
      <c r="B917" s="242"/>
      <c r="C917" s="242"/>
      <c r="D917" s="242"/>
      <c r="E917" s="165"/>
      <c r="F917" s="165"/>
      <c r="G917" s="165"/>
      <c r="H917" s="126"/>
      <c r="I917" s="126"/>
      <c r="J917" s="166"/>
    </row>
    <row r="918" ht="7.5" customHeight="1">
      <c r="A918" s="126"/>
      <c r="B918" s="242"/>
      <c r="C918" s="242"/>
      <c r="D918" s="242"/>
      <c r="E918" s="165"/>
      <c r="F918" s="165"/>
      <c r="G918" s="165"/>
      <c r="H918" s="126"/>
      <c r="I918" s="126"/>
      <c r="J918" s="166"/>
    </row>
    <row r="919" ht="7.5" customHeight="1">
      <c r="A919" s="126"/>
      <c r="B919" s="242"/>
      <c r="C919" s="242"/>
      <c r="D919" s="242"/>
      <c r="E919" s="165"/>
      <c r="F919" s="165"/>
      <c r="G919" s="165"/>
      <c r="H919" s="126"/>
      <c r="I919" s="126"/>
      <c r="J919" s="166"/>
    </row>
    <row r="920" ht="7.5" customHeight="1">
      <c r="A920" s="126"/>
      <c r="B920" s="242"/>
      <c r="C920" s="242"/>
      <c r="D920" s="242"/>
      <c r="E920" s="165"/>
      <c r="F920" s="165"/>
      <c r="G920" s="165"/>
      <c r="H920" s="126"/>
      <c r="I920" s="126"/>
      <c r="J920" s="166"/>
    </row>
    <row r="921" ht="7.5" customHeight="1">
      <c r="A921" s="126"/>
      <c r="B921" s="242"/>
      <c r="C921" s="242"/>
      <c r="D921" s="242"/>
      <c r="E921" s="165"/>
      <c r="F921" s="165"/>
      <c r="G921" s="165"/>
      <c r="H921" s="126"/>
      <c r="I921" s="126"/>
      <c r="J921" s="166"/>
    </row>
    <row r="922" ht="7.5" customHeight="1">
      <c r="A922" s="126"/>
      <c r="B922" s="242"/>
      <c r="C922" s="242"/>
      <c r="D922" s="242"/>
      <c r="E922" s="165"/>
      <c r="F922" s="165"/>
      <c r="G922" s="165"/>
      <c r="H922" s="126"/>
      <c r="I922" s="126"/>
      <c r="J922" s="166"/>
    </row>
    <row r="923" ht="7.5" customHeight="1">
      <c r="A923" s="126"/>
      <c r="B923" s="242"/>
      <c r="C923" s="242"/>
      <c r="D923" s="242"/>
      <c r="E923" s="165"/>
      <c r="F923" s="165"/>
      <c r="G923" s="165"/>
      <c r="H923" s="126"/>
      <c r="I923" s="126"/>
      <c r="J923" s="166"/>
    </row>
    <row r="924" ht="7.5" customHeight="1">
      <c r="A924" s="126"/>
      <c r="B924" s="242"/>
      <c r="C924" s="242"/>
      <c r="D924" s="242"/>
      <c r="E924" s="165"/>
      <c r="F924" s="165"/>
      <c r="G924" s="165"/>
      <c r="H924" s="126"/>
      <c r="I924" s="126"/>
      <c r="J924" s="166"/>
    </row>
    <row r="925" ht="7.5" customHeight="1">
      <c r="A925" s="126"/>
      <c r="B925" s="242"/>
      <c r="C925" s="242"/>
      <c r="D925" s="242"/>
      <c r="E925" s="165"/>
      <c r="F925" s="165"/>
      <c r="G925" s="165"/>
      <c r="H925" s="126"/>
      <c r="I925" s="126"/>
      <c r="J925" s="166"/>
    </row>
    <row r="926" ht="7.5" customHeight="1">
      <c r="A926" s="126"/>
      <c r="B926" s="242"/>
      <c r="C926" s="242"/>
      <c r="D926" s="242"/>
      <c r="E926" s="165"/>
      <c r="F926" s="165"/>
      <c r="G926" s="165"/>
      <c r="H926" s="126"/>
      <c r="I926" s="126"/>
      <c r="J926" s="166"/>
    </row>
    <row r="927" ht="7.5" customHeight="1">
      <c r="A927" s="126"/>
      <c r="B927" s="242"/>
      <c r="C927" s="242"/>
      <c r="D927" s="242"/>
      <c r="E927" s="165"/>
      <c r="F927" s="165"/>
      <c r="G927" s="165"/>
      <c r="H927" s="126"/>
      <c r="I927" s="126"/>
      <c r="J927" s="166"/>
    </row>
    <row r="928" ht="7.5" customHeight="1">
      <c r="A928" s="126"/>
      <c r="B928" s="242"/>
      <c r="C928" s="242"/>
      <c r="D928" s="242"/>
      <c r="E928" s="165"/>
      <c r="F928" s="165"/>
      <c r="G928" s="165"/>
      <c r="H928" s="126"/>
      <c r="I928" s="126"/>
      <c r="J928" s="166"/>
    </row>
    <row r="929" ht="7.5" customHeight="1">
      <c r="A929" s="126"/>
      <c r="B929" s="242"/>
      <c r="C929" s="242"/>
      <c r="D929" s="242"/>
      <c r="E929" s="165"/>
      <c r="F929" s="165"/>
      <c r="G929" s="165"/>
      <c r="H929" s="126"/>
      <c r="I929" s="126"/>
      <c r="J929" s="166"/>
    </row>
    <row r="930" ht="7.5" customHeight="1">
      <c r="A930" s="126"/>
      <c r="B930" s="242"/>
      <c r="C930" s="242"/>
      <c r="D930" s="242"/>
      <c r="E930" s="165"/>
      <c r="F930" s="165"/>
      <c r="G930" s="165"/>
      <c r="H930" s="126"/>
      <c r="I930" s="126"/>
      <c r="J930" s="166"/>
    </row>
    <row r="931" ht="7.5" customHeight="1">
      <c r="A931" s="126"/>
      <c r="B931" s="242"/>
      <c r="C931" s="242"/>
      <c r="D931" s="242"/>
      <c r="E931" s="165"/>
      <c r="F931" s="165"/>
      <c r="G931" s="165"/>
      <c r="H931" s="126"/>
      <c r="I931" s="126"/>
      <c r="J931" s="166"/>
    </row>
    <row r="932" ht="7.5" customHeight="1">
      <c r="A932" s="126"/>
      <c r="B932" s="242"/>
      <c r="C932" s="242"/>
      <c r="D932" s="242"/>
      <c r="E932" s="165"/>
      <c r="F932" s="165"/>
      <c r="G932" s="165"/>
      <c r="H932" s="126"/>
      <c r="I932" s="126"/>
      <c r="J932" s="166"/>
    </row>
    <row r="933" ht="7.5" customHeight="1">
      <c r="A933" s="126"/>
      <c r="B933" s="242"/>
      <c r="C933" s="242"/>
      <c r="D933" s="242"/>
      <c r="E933" s="165"/>
      <c r="F933" s="165"/>
      <c r="G933" s="165"/>
      <c r="H933" s="126"/>
      <c r="I933" s="126"/>
      <c r="J933" s="166"/>
    </row>
    <row r="934" ht="7.5" customHeight="1">
      <c r="A934" s="126"/>
      <c r="B934" s="242"/>
      <c r="C934" s="242"/>
      <c r="D934" s="242"/>
      <c r="E934" s="165"/>
      <c r="F934" s="165"/>
      <c r="G934" s="165"/>
      <c r="H934" s="126"/>
      <c r="I934" s="126"/>
      <c r="J934" s="166"/>
    </row>
    <row r="935" ht="7.5" customHeight="1">
      <c r="A935" s="126"/>
      <c r="B935" s="242"/>
      <c r="C935" s="242"/>
      <c r="D935" s="242"/>
      <c r="E935" s="165"/>
      <c r="F935" s="165"/>
      <c r="G935" s="165"/>
      <c r="H935" s="126"/>
      <c r="I935" s="126"/>
      <c r="J935" s="166"/>
    </row>
    <row r="936" ht="7.5" customHeight="1">
      <c r="A936" s="126"/>
      <c r="B936" s="242"/>
      <c r="C936" s="242"/>
      <c r="D936" s="242"/>
      <c r="E936" s="165"/>
      <c r="F936" s="165"/>
      <c r="G936" s="165"/>
      <c r="H936" s="126"/>
      <c r="I936" s="126"/>
      <c r="J936" s="166"/>
    </row>
    <row r="937" ht="7.5" customHeight="1">
      <c r="A937" s="126"/>
      <c r="B937" s="242"/>
      <c r="C937" s="242"/>
      <c r="D937" s="242"/>
      <c r="E937" s="165"/>
      <c r="F937" s="165"/>
      <c r="G937" s="165"/>
      <c r="H937" s="126"/>
      <c r="I937" s="126"/>
      <c r="J937" s="166"/>
    </row>
    <row r="938" ht="7.5" customHeight="1">
      <c r="A938" s="126"/>
      <c r="B938" s="242"/>
      <c r="C938" s="242"/>
      <c r="D938" s="242"/>
      <c r="E938" s="165"/>
      <c r="F938" s="165"/>
      <c r="G938" s="165"/>
      <c r="H938" s="126"/>
      <c r="I938" s="126"/>
      <c r="J938" s="166"/>
    </row>
    <row r="939" ht="7.5" customHeight="1">
      <c r="A939" s="126"/>
      <c r="B939" s="242"/>
      <c r="C939" s="242"/>
      <c r="D939" s="242"/>
      <c r="E939" s="165"/>
      <c r="F939" s="165"/>
      <c r="G939" s="165"/>
      <c r="H939" s="126"/>
      <c r="I939" s="126"/>
      <c r="J939" s="166"/>
    </row>
    <row r="940" ht="7.5" customHeight="1">
      <c r="A940" s="126"/>
      <c r="B940" s="242"/>
      <c r="C940" s="242"/>
      <c r="D940" s="242"/>
      <c r="E940" s="165"/>
      <c r="F940" s="165"/>
      <c r="G940" s="165"/>
      <c r="H940" s="126"/>
      <c r="I940" s="126"/>
      <c r="J940" s="166"/>
    </row>
    <row r="941" ht="7.5" customHeight="1">
      <c r="A941" s="126"/>
      <c r="B941" s="242"/>
      <c r="C941" s="242"/>
      <c r="D941" s="242"/>
      <c r="E941" s="165"/>
      <c r="F941" s="165"/>
      <c r="G941" s="165"/>
      <c r="H941" s="126"/>
      <c r="I941" s="126"/>
      <c r="J941" s="166"/>
    </row>
    <row r="942" ht="7.5" customHeight="1">
      <c r="A942" s="126"/>
      <c r="B942" s="242"/>
      <c r="C942" s="242"/>
      <c r="D942" s="242"/>
      <c r="E942" s="165"/>
      <c r="F942" s="165"/>
      <c r="G942" s="165"/>
      <c r="H942" s="126"/>
      <c r="I942" s="126"/>
      <c r="J942" s="166"/>
    </row>
    <row r="943" ht="7.5" customHeight="1">
      <c r="A943" s="126"/>
      <c r="B943" s="242"/>
      <c r="C943" s="242"/>
      <c r="D943" s="242"/>
      <c r="E943" s="165"/>
      <c r="F943" s="165"/>
      <c r="G943" s="165"/>
      <c r="H943" s="126"/>
      <c r="I943" s="126"/>
      <c r="J943" s="166"/>
    </row>
    <row r="944" ht="7.5" customHeight="1">
      <c r="A944" s="126"/>
      <c r="B944" s="242"/>
      <c r="C944" s="242"/>
      <c r="D944" s="242"/>
      <c r="E944" s="165"/>
      <c r="F944" s="165"/>
      <c r="G944" s="165"/>
      <c r="H944" s="126"/>
      <c r="I944" s="126"/>
      <c r="J944" s="166"/>
    </row>
    <row r="945" ht="7.5" customHeight="1">
      <c r="A945" s="126"/>
      <c r="B945" s="242"/>
      <c r="C945" s="242"/>
      <c r="D945" s="242"/>
      <c r="E945" s="165"/>
      <c r="F945" s="165"/>
      <c r="G945" s="165"/>
      <c r="H945" s="126"/>
      <c r="I945" s="126"/>
      <c r="J945" s="166"/>
    </row>
    <row r="946" ht="7.5" customHeight="1">
      <c r="A946" s="126"/>
      <c r="B946" s="242"/>
      <c r="C946" s="242"/>
      <c r="D946" s="242"/>
      <c r="E946" s="165"/>
      <c r="F946" s="165"/>
      <c r="G946" s="165"/>
      <c r="H946" s="126"/>
      <c r="I946" s="126"/>
      <c r="J946" s="166"/>
    </row>
    <row r="947" ht="7.5" customHeight="1">
      <c r="A947" s="126"/>
      <c r="B947" s="242"/>
      <c r="C947" s="242"/>
      <c r="D947" s="242"/>
      <c r="E947" s="165"/>
      <c r="F947" s="165"/>
      <c r="G947" s="165"/>
      <c r="H947" s="126"/>
      <c r="I947" s="126"/>
      <c r="J947" s="166"/>
    </row>
    <row r="948" ht="7.5" customHeight="1">
      <c r="A948" s="126"/>
      <c r="B948" s="242"/>
      <c r="C948" s="242"/>
      <c r="D948" s="242"/>
      <c r="E948" s="165"/>
      <c r="F948" s="165"/>
      <c r="G948" s="165"/>
      <c r="H948" s="126"/>
      <c r="I948" s="126"/>
      <c r="J948" s="166"/>
    </row>
    <row r="949" ht="7.5" customHeight="1">
      <c r="A949" s="126"/>
      <c r="B949" s="242"/>
      <c r="C949" s="242"/>
      <c r="D949" s="242"/>
      <c r="E949" s="165"/>
      <c r="F949" s="165"/>
      <c r="G949" s="165"/>
      <c r="H949" s="126"/>
      <c r="I949" s="126"/>
      <c r="J949" s="166"/>
    </row>
    <row r="950" ht="7.5" customHeight="1">
      <c r="A950" s="126"/>
      <c r="B950" s="242"/>
      <c r="C950" s="242"/>
      <c r="D950" s="242"/>
      <c r="E950" s="165"/>
      <c r="F950" s="165"/>
      <c r="G950" s="165"/>
      <c r="H950" s="126"/>
      <c r="I950" s="126"/>
      <c r="J950" s="166"/>
    </row>
    <row r="951" ht="7.5" customHeight="1">
      <c r="A951" s="126"/>
      <c r="B951" s="242"/>
      <c r="C951" s="242"/>
      <c r="D951" s="242"/>
      <c r="E951" s="165"/>
      <c r="F951" s="165"/>
      <c r="G951" s="165"/>
      <c r="H951" s="126"/>
      <c r="I951" s="126"/>
      <c r="J951" s="166"/>
    </row>
    <row r="952" ht="7.5" customHeight="1">
      <c r="A952" s="126"/>
      <c r="B952" s="242"/>
      <c r="C952" s="242"/>
      <c r="D952" s="242"/>
      <c r="E952" s="165"/>
      <c r="F952" s="165"/>
      <c r="G952" s="165"/>
      <c r="H952" s="126"/>
      <c r="I952" s="126"/>
      <c r="J952" s="166"/>
    </row>
    <row r="953" ht="7.5" customHeight="1">
      <c r="A953" s="126"/>
      <c r="B953" s="242"/>
      <c r="C953" s="242"/>
      <c r="D953" s="242"/>
      <c r="E953" s="165"/>
      <c r="F953" s="165"/>
      <c r="G953" s="165"/>
      <c r="H953" s="126"/>
      <c r="I953" s="126"/>
      <c r="J953" s="166"/>
    </row>
    <row r="954" ht="7.5" customHeight="1">
      <c r="A954" s="126"/>
      <c r="B954" s="242"/>
      <c r="C954" s="242"/>
      <c r="D954" s="242"/>
      <c r="E954" s="165"/>
      <c r="F954" s="165"/>
      <c r="G954" s="165"/>
      <c r="H954" s="126"/>
      <c r="I954" s="126"/>
      <c r="J954" s="166"/>
    </row>
    <row r="955" ht="7.5" customHeight="1">
      <c r="A955" s="126"/>
      <c r="B955" s="242"/>
      <c r="C955" s="242"/>
      <c r="D955" s="242"/>
      <c r="E955" s="165"/>
      <c r="F955" s="165"/>
      <c r="G955" s="165"/>
      <c r="H955" s="126"/>
      <c r="I955" s="126"/>
      <c r="J955" s="166"/>
    </row>
    <row r="956" ht="7.5" customHeight="1">
      <c r="A956" s="126"/>
      <c r="B956" s="242"/>
      <c r="C956" s="242"/>
      <c r="D956" s="242"/>
      <c r="E956" s="165"/>
      <c r="F956" s="165"/>
      <c r="G956" s="165"/>
      <c r="H956" s="126"/>
      <c r="I956" s="126"/>
      <c r="J956" s="166"/>
    </row>
    <row r="957" ht="7.5" customHeight="1">
      <c r="A957" s="126"/>
      <c r="B957" s="242"/>
      <c r="C957" s="242"/>
      <c r="D957" s="242"/>
      <c r="E957" s="165"/>
      <c r="F957" s="165"/>
      <c r="G957" s="165"/>
      <c r="H957" s="126"/>
      <c r="I957" s="126"/>
      <c r="J957" s="166"/>
    </row>
    <row r="958" ht="7.5" customHeight="1">
      <c r="A958" s="126"/>
      <c r="B958" s="242"/>
      <c r="C958" s="242"/>
      <c r="D958" s="242"/>
      <c r="E958" s="165"/>
      <c r="F958" s="165"/>
      <c r="G958" s="165"/>
      <c r="H958" s="126"/>
      <c r="I958" s="126"/>
      <c r="J958" s="166"/>
    </row>
    <row r="959" ht="7.5" customHeight="1">
      <c r="A959" s="126"/>
      <c r="B959" s="242"/>
      <c r="C959" s="242"/>
      <c r="D959" s="242"/>
      <c r="E959" s="165"/>
      <c r="F959" s="165"/>
      <c r="G959" s="165"/>
      <c r="H959" s="126"/>
      <c r="I959" s="126"/>
      <c r="J959" s="166"/>
    </row>
    <row r="960" ht="7.5" customHeight="1">
      <c r="A960" s="126"/>
      <c r="B960" s="242"/>
      <c r="C960" s="242"/>
      <c r="D960" s="242"/>
      <c r="E960" s="165"/>
      <c r="F960" s="165"/>
      <c r="G960" s="165"/>
      <c r="H960" s="126"/>
      <c r="I960" s="126"/>
      <c r="J960" s="166"/>
    </row>
    <row r="961" ht="7.5" customHeight="1">
      <c r="A961" s="126"/>
      <c r="B961" s="242"/>
      <c r="C961" s="242"/>
      <c r="D961" s="242"/>
      <c r="E961" s="165"/>
      <c r="F961" s="165"/>
      <c r="G961" s="165"/>
      <c r="H961" s="126"/>
      <c r="I961" s="126"/>
      <c r="J961" s="166"/>
    </row>
    <row r="962" ht="7.5" customHeight="1">
      <c r="A962" s="126"/>
      <c r="B962" s="242"/>
      <c r="C962" s="242"/>
      <c r="D962" s="242"/>
      <c r="E962" s="165"/>
      <c r="F962" s="165"/>
      <c r="G962" s="165"/>
      <c r="H962" s="126"/>
      <c r="I962" s="126"/>
      <c r="J962" s="166"/>
    </row>
    <row r="963" ht="7.5" customHeight="1">
      <c r="A963" s="126"/>
      <c r="B963" s="242"/>
      <c r="C963" s="242"/>
      <c r="D963" s="242"/>
      <c r="E963" s="165"/>
      <c r="F963" s="165"/>
      <c r="G963" s="165"/>
      <c r="H963" s="126"/>
      <c r="I963" s="126"/>
      <c r="J963" s="166"/>
    </row>
    <row r="964" ht="7.5" customHeight="1">
      <c r="A964" s="126"/>
      <c r="B964" s="242"/>
      <c r="C964" s="242"/>
      <c r="D964" s="242"/>
      <c r="E964" s="165"/>
      <c r="F964" s="165"/>
      <c r="G964" s="165"/>
      <c r="H964" s="126"/>
      <c r="I964" s="126"/>
      <c r="J964" s="166"/>
    </row>
    <row r="965" ht="7.5" customHeight="1">
      <c r="A965" s="126"/>
      <c r="B965" s="242"/>
      <c r="C965" s="242"/>
      <c r="D965" s="242"/>
      <c r="E965" s="165"/>
      <c r="F965" s="165"/>
      <c r="G965" s="165"/>
      <c r="H965" s="126"/>
      <c r="I965" s="126"/>
      <c r="J965" s="166"/>
    </row>
    <row r="966" ht="7.5" customHeight="1">
      <c r="A966" s="126"/>
      <c r="B966" s="242"/>
      <c r="C966" s="242"/>
      <c r="D966" s="242"/>
      <c r="E966" s="165"/>
      <c r="F966" s="165"/>
      <c r="G966" s="165"/>
      <c r="H966" s="126"/>
      <c r="I966" s="126"/>
      <c r="J966" s="166"/>
    </row>
    <row r="967" ht="7.5" customHeight="1">
      <c r="A967" s="126"/>
      <c r="B967" s="242"/>
      <c r="C967" s="242"/>
      <c r="D967" s="242"/>
      <c r="E967" s="165"/>
      <c r="F967" s="165"/>
      <c r="G967" s="165"/>
      <c r="H967" s="126"/>
      <c r="I967" s="126"/>
      <c r="J967" s="166"/>
    </row>
    <row r="968" ht="7.5" customHeight="1">
      <c r="A968" s="126"/>
      <c r="B968" s="242"/>
      <c r="C968" s="242"/>
      <c r="D968" s="242"/>
      <c r="E968" s="165"/>
      <c r="F968" s="165"/>
      <c r="G968" s="165"/>
      <c r="H968" s="126"/>
      <c r="I968" s="126"/>
      <c r="J968" s="166"/>
    </row>
    <row r="969" ht="7.5" customHeight="1">
      <c r="A969" s="126"/>
      <c r="B969" s="242"/>
      <c r="C969" s="242"/>
      <c r="D969" s="242"/>
      <c r="E969" s="165"/>
      <c r="F969" s="165"/>
      <c r="G969" s="165"/>
      <c r="H969" s="126"/>
      <c r="I969" s="126"/>
      <c r="J969" s="166"/>
    </row>
    <row r="970" ht="7.5" customHeight="1">
      <c r="A970" s="126"/>
      <c r="B970" s="242"/>
      <c r="C970" s="242"/>
      <c r="D970" s="242"/>
      <c r="E970" s="165"/>
      <c r="F970" s="165"/>
      <c r="G970" s="165"/>
      <c r="H970" s="126"/>
      <c r="I970" s="126"/>
      <c r="J970" s="166"/>
    </row>
    <row r="971" ht="7.5" customHeight="1">
      <c r="A971" s="126"/>
      <c r="B971" s="242"/>
      <c r="C971" s="242"/>
      <c r="D971" s="242"/>
      <c r="E971" s="165"/>
      <c r="F971" s="165"/>
      <c r="G971" s="165"/>
      <c r="H971" s="126"/>
      <c r="I971" s="126"/>
      <c r="J971" s="166"/>
    </row>
    <row r="972" ht="7.5" customHeight="1">
      <c r="A972" s="126"/>
      <c r="B972" s="242"/>
      <c r="C972" s="242"/>
      <c r="D972" s="242"/>
      <c r="E972" s="165"/>
      <c r="F972" s="165"/>
      <c r="G972" s="165"/>
      <c r="H972" s="126"/>
      <c r="I972" s="126"/>
      <c r="J972" s="166"/>
    </row>
    <row r="973" ht="7.5" customHeight="1">
      <c r="A973" s="126"/>
      <c r="B973" s="242"/>
      <c r="C973" s="242"/>
      <c r="D973" s="242"/>
      <c r="E973" s="165"/>
      <c r="F973" s="165"/>
      <c r="G973" s="165"/>
      <c r="H973" s="126"/>
      <c r="I973" s="126"/>
      <c r="J973" s="166"/>
    </row>
    <row r="974" ht="7.5" customHeight="1">
      <c r="A974" s="126"/>
      <c r="B974" s="242"/>
      <c r="C974" s="242"/>
      <c r="D974" s="242"/>
      <c r="E974" s="165"/>
      <c r="F974" s="165"/>
      <c r="G974" s="165"/>
      <c r="H974" s="126"/>
      <c r="I974" s="126"/>
      <c r="J974" s="166"/>
    </row>
    <row r="975" ht="7.5" customHeight="1">
      <c r="A975" s="126"/>
      <c r="B975" s="242"/>
      <c r="C975" s="242"/>
      <c r="D975" s="242"/>
      <c r="E975" s="165"/>
      <c r="F975" s="165"/>
      <c r="G975" s="165"/>
      <c r="H975" s="126"/>
      <c r="I975" s="126"/>
      <c r="J975" s="166"/>
    </row>
    <row r="976" ht="7.5" customHeight="1">
      <c r="A976" s="126"/>
      <c r="B976" s="242"/>
      <c r="C976" s="242"/>
      <c r="D976" s="242"/>
      <c r="E976" s="165"/>
      <c r="F976" s="165"/>
      <c r="G976" s="165"/>
      <c r="H976" s="126"/>
      <c r="I976" s="126"/>
      <c r="J976" s="166"/>
    </row>
    <row r="977" ht="7.5" customHeight="1">
      <c r="A977" s="126"/>
      <c r="B977" s="242"/>
      <c r="C977" s="242"/>
      <c r="D977" s="242"/>
      <c r="E977" s="165"/>
      <c r="F977" s="165"/>
      <c r="G977" s="165"/>
      <c r="H977" s="126"/>
      <c r="I977" s="126"/>
      <c r="J977" s="166"/>
    </row>
    <row r="978" ht="7.5" customHeight="1">
      <c r="A978" s="126"/>
      <c r="B978" s="242"/>
      <c r="C978" s="242"/>
      <c r="D978" s="242"/>
      <c r="E978" s="165"/>
      <c r="F978" s="165"/>
      <c r="G978" s="165"/>
      <c r="H978" s="126"/>
      <c r="I978" s="126"/>
      <c r="J978" s="166"/>
    </row>
    <row r="979" ht="7.5" customHeight="1">
      <c r="A979" s="126"/>
      <c r="B979" s="242"/>
      <c r="C979" s="242"/>
      <c r="D979" s="242"/>
      <c r="E979" s="165"/>
      <c r="F979" s="165"/>
      <c r="G979" s="165"/>
      <c r="H979" s="126"/>
      <c r="I979" s="126"/>
      <c r="J979" s="166"/>
    </row>
    <row r="980" ht="7.5" customHeight="1">
      <c r="A980" s="126"/>
      <c r="B980" s="242"/>
      <c r="C980" s="242"/>
      <c r="D980" s="242"/>
      <c r="E980" s="165"/>
      <c r="F980" s="165"/>
      <c r="G980" s="165"/>
      <c r="H980" s="126"/>
      <c r="I980" s="126"/>
      <c r="J980" s="166"/>
    </row>
    <row r="981" ht="7.5" customHeight="1">
      <c r="A981" s="126"/>
      <c r="B981" s="242"/>
      <c r="C981" s="242"/>
      <c r="D981" s="242"/>
      <c r="E981" s="165"/>
      <c r="F981" s="165"/>
      <c r="G981" s="165"/>
      <c r="H981" s="126"/>
      <c r="I981" s="126"/>
      <c r="J981" s="166"/>
    </row>
    <row r="982" ht="7.5" customHeight="1">
      <c r="A982" s="126"/>
      <c r="B982" s="242"/>
      <c r="C982" s="242"/>
      <c r="D982" s="242"/>
      <c r="E982" s="165"/>
      <c r="F982" s="165"/>
      <c r="G982" s="165"/>
      <c r="H982" s="126"/>
      <c r="I982" s="126"/>
      <c r="J982" s="166"/>
    </row>
    <row r="983" ht="7.5" customHeight="1">
      <c r="A983" s="126"/>
      <c r="B983" s="242"/>
      <c r="C983" s="242"/>
      <c r="D983" s="242"/>
      <c r="E983" s="165"/>
      <c r="F983" s="165"/>
      <c r="G983" s="165"/>
      <c r="H983" s="126"/>
      <c r="I983" s="126"/>
      <c r="J983" s="166"/>
    </row>
    <row r="984" ht="7.5" customHeight="1">
      <c r="A984" s="126"/>
      <c r="B984" s="242"/>
      <c r="C984" s="242"/>
      <c r="D984" s="242"/>
      <c r="E984" s="165"/>
      <c r="F984" s="165"/>
      <c r="G984" s="165"/>
      <c r="H984" s="126"/>
      <c r="I984" s="126"/>
      <c r="J984" s="166"/>
    </row>
    <row r="985" ht="7.5" customHeight="1">
      <c r="A985" s="126"/>
      <c r="B985" s="242"/>
      <c r="C985" s="242"/>
      <c r="D985" s="242"/>
      <c r="E985" s="165"/>
      <c r="F985" s="165"/>
      <c r="G985" s="165"/>
      <c r="H985" s="126"/>
      <c r="I985" s="126"/>
      <c r="J985" s="166"/>
    </row>
    <row r="986" ht="7.5" customHeight="1">
      <c r="A986" s="126"/>
      <c r="B986" s="242"/>
      <c r="C986" s="242"/>
      <c r="D986" s="242"/>
      <c r="E986" s="165"/>
      <c r="F986" s="165"/>
      <c r="G986" s="165"/>
      <c r="H986" s="126"/>
      <c r="I986" s="126"/>
      <c r="J986" s="166"/>
    </row>
    <row r="987" ht="7.5" customHeight="1">
      <c r="A987" s="126"/>
      <c r="B987" s="242"/>
      <c r="C987" s="242"/>
      <c r="D987" s="242"/>
      <c r="E987" s="165"/>
      <c r="F987" s="165"/>
      <c r="G987" s="165"/>
      <c r="H987" s="126"/>
      <c r="I987" s="126"/>
      <c r="J987" s="166"/>
    </row>
    <row r="988" ht="7.5" customHeight="1">
      <c r="A988" s="126"/>
      <c r="B988" s="242"/>
      <c r="C988" s="242"/>
      <c r="D988" s="242"/>
      <c r="E988" s="165"/>
      <c r="F988" s="165"/>
      <c r="G988" s="165"/>
      <c r="H988" s="126"/>
      <c r="I988" s="126"/>
      <c r="J988" s="166"/>
    </row>
    <row r="989" ht="7.5" customHeight="1">
      <c r="A989" s="126"/>
      <c r="B989" s="242"/>
      <c r="C989" s="242"/>
      <c r="D989" s="242"/>
      <c r="E989" s="165"/>
      <c r="F989" s="165"/>
      <c r="G989" s="165"/>
      <c r="H989" s="126"/>
      <c r="I989" s="126"/>
      <c r="J989" s="166"/>
    </row>
    <row r="990" ht="7.5" customHeight="1">
      <c r="A990" s="126"/>
      <c r="B990" s="242"/>
      <c r="C990" s="242"/>
      <c r="D990" s="242"/>
      <c r="E990" s="165"/>
      <c r="F990" s="165"/>
      <c r="G990" s="165"/>
      <c r="H990" s="126"/>
      <c r="I990" s="126"/>
      <c r="J990" s="166"/>
    </row>
    <row r="991" ht="7.5" customHeight="1">
      <c r="A991" s="126"/>
      <c r="B991" s="242"/>
      <c r="C991" s="242"/>
      <c r="D991" s="242"/>
      <c r="E991" s="165"/>
      <c r="F991" s="165"/>
      <c r="G991" s="165"/>
      <c r="H991" s="126"/>
      <c r="I991" s="126"/>
      <c r="J991" s="166"/>
    </row>
    <row r="992" ht="7.5" customHeight="1">
      <c r="A992" s="126"/>
      <c r="B992" s="242"/>
      <c r="C992" s="242"/>
      <c r="D992" s="242"/>
      <c r="E992" s="165"/>
      <c r="F992" s="165"/>
      <c r="G992" s="165"/>
      <c r="H992" s="126"/>
      <c r="I992" s="126"/>
      <c r="J992" s="166"/>
    </row>
    <row r="993" ht="7.5" customHeight="1">
      <c r="A993" s="126"/>
      <c r="B993" s="242"/>
      <c r="C993" s="242"/>
      <c r="D993" s="242"/>
      <c r="E993" s="165"/>
      <c r="F993" s="165"/>
      <c r="G993" s="165"/>
      <c r="H993" s="126"/>
      <c r="I993" s="126"/>
      <c r="J993" s="166"/>
    </row>
    <row r="994" ht="7.5" customHeight="1">
      <c r="A994" s="126"/>
      <c r="B994" s="242"/>
      <c r="C994" s="242"/>
      <c r="D994" s="242"/>
      <c r="E994" s="165"/>
      <c r="F994" s="165"/>
      <c r="G994" s="165"/>
      <c r="H994" s="126"/>
      <c r="I994" s="126"/>
      <c r="J994" s="166"/>
    </row>
    <row r="995" ht="7.5" customHeight="1">
      <c r="A995" s="126"/>
      <c r="B995" s="242"/>
      <c r="C995" s="242"/>
      <c r="D995" s="242"/>
      <c r="E995" s="165"/>
      <c r="F995" s="165"/>
      <c r="G995" s="165"/>
      <c r="H995" s="126"/>
      <c r="I995" s="126"/>
      <c r="J995" s="166"/>
    </row>
    <row r="996" ht="7.5" customHeight="1">
      <c r="A996" s="126"/>
      <c r="B996" s="242"/>
      <c r="C996" s="242"/>
      <c r="D996" s="242"/>
      <c r="E996" s="165"/>
      <c r="F996" s="165"/>
      <c r="G996" s="165"/>
      <c r="H996" s="126"/>
      <c r="I996" s="126"/>
      <c r="J996" s="166"/>
    </row>
    <row r="997" ht="7.5" customHeight="1">
      <c r="A997" s="126"/>
      <c r="B997" s="242"/>
      <c r="C997" s="242"/>
      <c r="D997" s="242"/>
      <c r="E997" s="165"/>
      <c r="F997" s="165"/>
      <c r="G997" s="165"/>
      <c r="H997" s="126"/>
      <c r="I997" s="126"/>
      <c r="J997" s="166"/>
    </row>
    <row r="998" ht="7.5" customHeight="1">
      <c r="A998" s="126"/>
      <c r="B998" s="242"/>
      <c r="C998" s="242"/>
      <c r="D998" s="242"/>
      <c r="E998" s="165"/>
      <c r="F998" s="165"/>
      <c r="G998" s="165"/>
      <c r="H998" s="126"/>
      <c r="I998" s="126"/>
      <c r="J998" s="166"/>
    </row>
    <row r="999" ht="7.5" customHeight="1">
      <c r="A999" s="126"/>
      <c r="B999" s="242"/>
      <c r="C999" s="242"/>
      <c r="D999" s="242"/>
      <c r="E999" s="165"/>
      <c r="F999" s="165"/>
      <c r="G999" s="165"/>
      <c r="H999" s="126"/>
      <c r="I999" s="126"/>
      <c r="J999" s="166"/>
    </row>
    <row r="1000" ht="7.5" customHeight="1">
      <c r="A1000" s="126"/>
      <c r="B1000" s="242"/>
      <c r="C1000" s="242"/>
      <c r="D1000" s="242"/>
      <c r="E1000" s="165"/>
      <c r="F1000" s="165"/>
      <c r="G1000" s="165"/>
      <c r="H1000" s="126"/>
      <c r="I1000" s="126"/>
      <c r="J1000" s="166"/>
    </row>
    <row r="1001" ht="7.5" customHeight="1">
      <c r="A1001" s="126"/>
      <c r="B1001" s="242"/>
      <c r="C1001" s="242"/>
      <c r="D1001" s="242"/>
      <c r="E1001" s="165"/>
      <c r="F1001" s="165"/>
      <c r="G1001" s="165"/>
      <c r="H1001" s="126"/>
      <c r="I1001" s="126"/>
      <c r="J1001" s="166"/>
    </row>
    <row r="1002" ht="7.5" customHeight="1">
      <c r="A1002" s="126"/>
      <c r="B1002" s="242"/>
      <c r="C1002" s="242"/>
      <c r="D1002" s="242"/>
      <c r="E1002" s="165"/>
      <c r="F1002" s="165"/>
      <c r="G1002" s="165"/>
      <c r="H1002" s="126"/>
      <c r="I1002" s="126"/>
      <c r="J1002" s="166"/>
    </row>
    <row r="1003" ht="7.5" customHeight="1">
      <c r="A1003" s="126"/>
      <c r="B1003" s="242"/>
      <c r="C1003" s="242"/>
      <c r="D1003" s="242"/>
      <c r="E1003" s="165"/>
      <c r="F1003" s="165"/>
      <c r="G1003" s="165"/>
      <c r="H1003" s="126"/>
      <c r="I1003" s="126"/>
      <c r="J1003" s="166"/>
    </row>
    <row r="1004" ht="7.5" customHeight="1">
      <c r="A1004" s="126"/>
      <c r="B1004" s="242"/>
      <c r="C1004" s="242"/>
      <c r="D1004" s="242"/>
      <c r="E1004" s="165"/>
      <c r="F1004" s="165"/>
      <c r="G1004" s="165"/>
      <c r="H1004" s="126"/>
      <c r="I1004" s="126"/>
      <c r="J1004" s="166"/>
    </row>
    <row r="1005" ht="7.5" customHeight="1">
      <c r="A1005" s="126"/>
      <c r="B1005" s="242"/>
      <c r="C1005" s="242"/>
      <c r="D1005" s="242"/>
      <c r="E1005" s="165"/>
      <c r="F1005" s="165"/>
      <c r="G1005" s="165"/>
      <c r="H1005" s="126"/>
      <c r="I1005" s="126"/>
      <c r="J1005" s="166"/>
    </row>
    <row r="1006" ht="7.5" customHeight="1">
      <c r="A1006" s="126"/>
      <c r="B1006" s="242"/>
      <c r="C1006" s="242"/>
      <c r="D1006" s="242"/>
      <c r="E1006" s="165"/>
      <c r="F1006" s="165"/>
      <c r="G1006" s="165"/>
      <c r="H1006" s="126"/>
      <c r="I1006" s="126"/>
      <c r="J1006" s="166"/>
    </row>
    <row r="1007" ht="7.5" customHeight="1">
      <c r="A1007" s="126"/>
      <c r="B1007" s="242"/>
      <c r="C1007" s="242"/>
      <c r="D1007" s="242"/>
      <c r="E1007" s="165"/>
      <c r="F1007" s="165"/>
      <c r="G1007" s="165"/>
      <c r="H1007" s="126"/>
      <c r="I1007" s="126"/>
      <c r="J1007" s="166"/>
    </row>
    <row r="1008" ht="7.5" customHeight="1">
      <c r="A1008" s="126"/>
      <c r="B1008" s="242"/>
      <c r="C1008" s="242"/>
      <c r="D1008" s="242"/>
      <c r="E1008" s="165"/>
      <c r="F1008" s="165"/>
      <c r="G1008" s="165"/>
      <c r="H1008" s="126"/>
      <c r="I1008" s="126"/>
      <c r="J1008" s="166"/>
    </row>
    <row r="1009" ht="7.5" customHeight="1">
      <c r="A1009" s="126"/>
      <c r="B1009" s="242"/>
      <c r="C1009" s="242"/>
      <c r="D1009" s="242"/>
      <c r="E1009" s="165"/>
      <c r="F1009" s="165"/>
      <c r="G1009" s="165"/>
      <c r="H1009" s="126"/>
      <c r="I1009" s="126"/>
      <c r="J1009" s="166"/>
    </row>
    <row r="1010" ht="7.5" customHeight="1">
      <c r="A1010" s="126"/>
      <c r="B1010" s="242"/>
      <c r="C1010" s="242"/>
      <c r="D1010" s="242"/>
      <c r="E1010" s="165"/>
      <c r="F1010" s="165"/>
      <c r="G1010" s="165"/>
      <c r="H1010" s="126"/>
      <c r="I1010" s="126"/>
      <c r="J1010" s="166"/>
    </row>
    <row r="1011" ht="7.5" customHeight="1">
      <c r="A1011" s="126"/>
      <c r="B1011" s="242"/>
      <c r="C1011" s="242"/>
      <c r="D1011" s="242"/>
      <c r="E1011" s="165"/>
      <c r="F1011" s="165"/>
      <c r="G1011" s="165"/>
      <c r="H1011" s="126"/>
      <c r="I1011" s="126"/>
      <c r="J1011" s="166"/>
    </row>
    <row r="1012" ht="7.5" customHeight="1">
      <c r="A1012" s="126"/>
      <c r="B1012" s="242"/>
      <c r="C1012" s="242"/>
      <c r="D1012" s="242"/>
      <c r="E1012" s="165"/>
      <c r="F1012" s="165"/>
      <c r="G1012" s="165"/>
      <c r="H1012" s="126"/>
      <c r="I1012" s="126"/>
      <c r="J1012" s="166"/>
    </row>
    <row r="1013" ht="7.5" customHeight="1">
      <c r="A1013" s="126"/>
      <c r="B1013" s="242"/>
      <c r="C1013" s="242"/>
      <c r="D1013" s="242"/>
      <c r="E1013" s="165"/>
      <c r="F1013" s="165"/>
      <c r="G1013" s="165"/>
      <c r="H1013" s="126"/>
      <c r="I1013" s="126"/>
      <c r="J1013" s="166"/>
    </row>
    <row r="1014" ht="7.5" customHeight="1">
      <c r="A1014" s="126"/>
      <c r="B1014" s="242"/>
      <c r="C1014" s="242"/>
      <c r="D1014" s="242"/>
      <c r="E1014" s="165"/>
      <c r="F1014" s="165"/>
      <c r="G1014" s="165"/>
      <c r="H1014" s="126"/>
      <c r="I1014" s="126"/>
      <c r="J1014" s="166"/>
    </row>
    <row r="1015" ht="7.5" customHeight="1">
      <c r="A1015" s="126"/>
      <c r="B1015" s="242"/>
      <c r="C1015" s="242"/>
      <c r="D1015" s="242"/>
      <c r="E1015" s="165"/>
      <c r="F1015" s="165"/>
      <c r="G1015" s="165"/>
      <c r="H1015" s="126"/>
      <c r="I1015" s="126"/>
      <c r="J1015" s="166"/>
    </row>
    <row r="1016" ht="7.5" customHeight="1">
      <c r="A1016" s="126"/>
      <c r="B1016" s="242"/>
      <c r="C1016" s="242"/>
      <c r="D1016" s="242"/>
      <c r="E1016" s="165"/>
      <c r="F1016" s="165"/>
      <c r="G1016" s="165"/>
      <c r="H1016" s="126"/>
      <c r="I1016" s="126"/>
      <c r="J1016" s="166"/>
    </row>
    <row r="1017" ht="7.5" customHeight="1">
      <c r="A1017" s="126"/>
      <c r="B1017" s="242"/>
      <c r="C1017" s="242"/>
      <c r="D1017" s="242"/>
      <c r="E1017" s="165"/>
      <c r="F1017" s="165"/>
      <c r="G1017" s="165"/>
      <c r="H1017" s="126"/>
      <c r="I1017" s="126"/>
      <c r="J1017" s="166"/>
    </row>
    <row r="1018" ht="7.5" customHeight="1">
      <c r="A1018" s="126"/>
      <c r="B1018" s="242"/>
      <c r="C1018" s="242"/>
      <c r="D1018" s="242"/>
      <c r="E1018" s="165"/>
      <c r="F1018" s="165"/>
      <c r="G1018" s="165"/>
      <c r="H1018" s="126"/>
      <c r="I1018" s="126"/>
      <c r="J1018" s="166"/>
    </row>
    <row r="1019" ht="7.5" customHeight="1">
      <c r="A1019" s="126"/>
      <c r="B1019" s="242"/>
      <c r="C1019" s="242"/>
      <c r="D1019" s="242"/>
      <c r="E1019" s="165"/>
      <c r="F1019" s="165"/>
      <c r="G1019" s="165"/>
      <c r="H1019" s="126"/>
      <c r="I1019" s="126"/>
      <c r="J1019" s="166"/>
    </row>
    <row r="1020" ht="7.5" customHeight="1">
      <c r="A1020" s="126"/>
      <c r="B1020" s="242"/>
      <c r="C1020" s="242"/>
      <c r="D1020" s="242"/>
      <c r="E1020" s="165"/>
      <c r="F1020" s="165"/>
      <c r="G1020" s="165"/>
      <c r="H1020" s="126"/>
      <c r="I1020" s="126"/>
      <c r="J1020" s="166"/>
    </row>
    <row r="1021" ht="7.5" customHeight="1">
      <c r="A1021" s="126"/>
      <c r="B1021" s="242"/>
      <c r="C1021" s="242"/>
      <c r="D1021" s="242"/>
      <c r="E1021" s="165"/>
      <c r="F1021" s="165"/>
      <c r="G1021" s="165"/>
      <c r="H1021" s="126"/>
      <c r="I1021" s="126"/>
      <c r="J1021" s="166"/>
    </row>
    <row r="1022" ht="7.5" customHeight="1">
      <c r="A1022" s="126"/>
      <c r="B1022" s="242"/>
      <c r="C1022" s="242"/>
      <c r="D1022" s="242"/>
      <c r="E1022" s="165"/>
      <c r="F1022" s="165"/>
      <c r="G1022" s="165"/>
      <c r="H1022" s="126"/>
      <c r="I1022" s="126"/>
      <c r="J1022" s="166"/>
    </row>
    <row r="1023" ht="7.5" customHeight="1">
      <c r="A1023" s="126"/>
      <c r="B1023" s="242"/>
      <c r="C1023" s="242"/>
      <c r="D1023" s="242"/>
      <c r="E1023" s="165"/>
      <c r="F1023" s="165"/>
      <c r="G1023" s="165"/>
      <c r="H1023" s="126"/>
      <c r="I1023" s="126"/>
      <c r="J1023" s="166"/>
    </row>
    <row r="1024" ht="7.5" customHeight="1">
      <c r="A1024" s="126"/>
      <c r="B1024" s="242"/>
      <c r="C1024" s="242"/>
      <c r="D1024" s="242"/>
      <c r="E1024" s="165"/>
      <c r="F1024" s="165"/>
      <c r="G1024" s="165"/>
      <c r="H1024" s="126"/>
      <c r="I1024" s="126"/>
      <c r="J1024" s="166"/>
    </row>
    <row r="1025" ht="7.5" customHeight="1">
      <c r="A1025" s="126"/>
      <c r="B1025" s="242"/>
      <c r="C1025" s="242"/>
      <c r="D1025" s="242"/>
      <c r="E1025" s="165"/>
      <c r="F1025" s="165"/>
      <c r="G1025" s="165"/>
      <c r="H1025" s="126"/>
      <c r="I1025" s="126"/>
      <c r="J1025" s="166"/>
    </row>
    <row r="1026" ht="7.5" customHeight="1">
      <c r="A1026" s="126"/>
      <c r="B1026" s="242"/>
      <c r="C1026" s="242"/>
      <c r="D1026" s="242"/>
      <c r="E1026" s="165"/>
      <c r="F1026" s="165"/>
      <c r="G1026" s="165"/>
      <c r="H1026" s="126"/>
      <c r="I1026" s="126"/>
      <c r="J1026" s="166"/>
    </row>
    <row r="1027" ht="7.5" customHeight="1">
      <c r="A1027" s="126"/>
      <c r="B1027" s="242"/>
      <c r="C1027" s="242"/>
      <c r="D1027" s="242"/>
      <c r="E1027" s="165"/>
      <c r="F1027" s="165"/>
      <c r="G1027" s="165"/>
      <c r="H1027" s="126"/>
      <c r="I1027" s="126"/>
      <c r="J1027" s="166"/>
    </row>
    <row r="1028" ht="7.5" customHeight="1">
      <c r="A1028" s="126"/>
      <c r="B1028" s="242"/>
      <c r="C1028" s="242"/>
      <c r="D1028" s="242"/>
      <c r="E1028" s="165"/>
      <c r="F1028" s="165"/>
      <c r="G1028" s="165"/>
      <c r="H1028" s="126"/>
      <c r="I1028" s="126"/>
      <c r="J1028" s="166"/>
    </row>
    <row r="1029" ht="7.5" customHeight="1">
      <c r="A1029" s="126"/>
      <c r="B1029" s="242"/>
      <c r="C1029" s="242"/>
      <c r="D1029" s="242"/>
      <c r="E1029" s="165"/>
      <c r="F1029" s="165"/>
      <c r="G1029" s="165"/>
      <c r="H1029" s="126"/>
      <c r="I1029" s="126"/>
      <c r="J1029" s="166"/>
    </row>
    <row r="1030" ht="7.5" customHeight="1">
      <c r="A1030" s="126"/>
      <c r="B1030" s="242"/>
      <c r="C1030" s="242"/>
      <c r="D1030" s="242"/>
      <c r="E1030" s="165"/>
      <c r="F1030" s="165"/>
      <c r="G1030" s="165"/>
      <c r="H1030" s="126"/>
      <c r="I1030" s="126"/>
      <c r="J1030" s="166"/>
    </row>
    <row r="1031" ht="7.5" customHeight="1">
      <c r="A1031" s="126"/>
      <c r="B1031" s="242"/>
      <c r="C1031" s="242"/>
      <c r="D1031" s="242"/>
      <c r="E1031" s="165"/>
      <c r="F1031" s="165"/>
      <c r="G1031" s="165"/>
      <c r="H1031" s="126"/>
      <c r="I1031" s="126"/>
      <c r="J1031" s="166"/>
    </row>
    <row r="1032" ht="7.5" customHeight="1">
      <c r="A1032" s="126"/>
      <c r="B1032" s="242"/>
      <c r="C1032" s="242"/>
      <c r="D1032" s="242"/>
      <c r="E1032" s="165"/>
      <c r="F1032" s="165"/>
      <c r="G1032" s="165"/>
      <c r="H1032" s="126"/>
      <c r="I1032" s="126"/>
      <c r="J1032" s="166"/>
    </row>
    <row r="1033" ht="7.5" customHeight="1">
      <c r="A1033" s="126"/>
      <c r="B1033" s="242"/>
      <c r="C1033" s="242"/>
      <c r="D1033" s="242"/>
      <c r="E1033" s="165"/>
      <c r="F1033" s="165"/>
      <c r="G1033" s="165"/>
      <c r="H1033" s="126"/>
      <c r="I1033" s="126"/>
      <c r="J1033" s="166"/>
    </row>
    <row r="1034" ht="7.5" customHeight="1">
      <c r="A1034" s="126"/>
      <c r="B1034" s="242"/>
      <c r="C1034" s="242"/>
      <c r="D1034" s="242"/>
      <c r="E1034" s="165"/>
      <c r="F1034" s="165"/>
      <c r="G1034" s="165"/>
      <c r="H1034" s="126"/>
      <c r="I1034" s="126"/>
      <c r="J1034" s="166"/>
    </row>
    <row r="1035" ht="7.5" customHeight="1">
      <c r="A1035" s="126"/>
      <c r="B1035" s="242"/>
      <c r="C1035" s="242"/>
      <c r="D1035" s="242"/>
      <c r="E1035" s="165"/>
      <c r="F1035" s="165"/>
      <c r="G1035" s="165"/>
      <c r="H1035" s="126"/>
      <c r="I1035" s="126"/>
      <c r="J1035" s="166"/>
    </row>
    <row r="1036" ht="7.5" customHeight="1">
      <c r="A1036" s="126"/>
      <c r="B1036" s="242"/>
      <c r="C1036" s="242"/>
      <c r="D1036" s="242"/>
      <c r="E1036" s="165"/>
      <c r="F1036" s="165"/>
      <c r="G1036" s="165"/>
      <c r="H1036" s="126"/>
      <c r="I1036" s="126"/>
      <c r="J1036" s="166"/>
    </row>
    <row r="1037" ht="7.5" customHeight="1">
      <c r="A1037" s="126"/>
      <c r="B1037" s="242"/>
      <c r="C1037" s="242"/>
      <c r="D1037" s="242"/>
      <c r="E1037" s="165"/>
      <c r="F1037" s="165"/>
      <c r="G1037" s="165"/>
      <c r="H1037" s="126"/>
      <c r="I1037" s="126"/>
      <c r="J1037" s="166"/>
    </row>
    <row r="1038" ht="7.5" customHeight="1">
      <c r="A1038" s="126"/>
      <c r="B1038" s="242"/>
      <c r="C1038" s="242"/>
      <c r="D1038" s="242"/>
      <c r="E1038" s="165"/>
      <c r="F1038" s="165"/>
      <c r="G1038" s="165"/>
      <c r="H1038" s="126"/>
      <c r="I1038" s="126"/>
      <c r="J1038" s="166"/>
    </row>
    <row r="1039" ht="7.5" customHeight="1">
      <c r="A1039" s="126"/>
      <c r="B1039" s="242"/>
      <c r="C1039" s="242"/>
      <c r="D1039" s="242"/>
      <c r="E1039" s="165"/>
      <c r="F1039" s="165"/>
      <c r="G1039" s="165"/>
      <c r="H1039" s="126"/>
      <c r="I1039" s="126"/>
      <c r="J1039" s="166"/>
    </row>
    <row r="1040" ht="7.5" customHeight="1">
      <c r="A1040" s="126"/>
      <c r="B1040" s="242"/>
      <c r="C1040" s="242"/>
      <c r="D1040" s="242"/>
      <c r="E1040" s="165"/>
      <c r="F1040" s="165"/>
      <c r="G1040" s="165"/>
      <c r="H1040" s="126"/>
      <c r="I1040" s="126"/>
    </row>
    <row r="1041" ht="7.5" customHeight="1">
      <c r="A1041" s="126"/>
      <c r="B1041" s="242"/>
      <c r="C1041" s="242"/>
      <c r="D1041" s="242"/>
      <c r="E1041" s="165"/>
      <c r="F1041" s="165"/>
      <c r="G1041" s="165"/>
      <c r="H1041" s="126"/>
      <c r="I1041" s="126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30:I30"/>
    <mergeCell ref="A41:I41"/>
    <mergeCell ref="A42:I42"/>
    <mergeCell ref="B6:I6"/>
    <mergeCell ref="B7:I7"/>
    <mergeCell ref="A9:I9"/>
    <mergeCell ref="A10:I10"/>
    <mergeCell ref="A18:I18"/>
    <mergeCell ref="A19:I19"/>
    <mergeCell ref="A29:I29"/>
  </mergeCells>
  <dataValidations>
    <dataValidation type="list" allowBlank="1" sqref="D12:D15 D21:D26 D44:D47">
      <formula1>'Data Validation'!$A$2:$A$5</formula1>
    </dataValidation>
    <dataValidation type="list" allowBlank="1" sqref="E32:E37">
      <formula1>'Data Validation'!$B$2:$B$4</formula1>
    </dataValidation>
    <dataValidation type="list" allowBlank="1" sqref="E12:E15 E21:E26 E44:E47">
      <formula1>'Data Validation'!$B$2:$B$4</formula1>
    </dataValidation>
    <dataValidation type="list" allowBlank="1" sqref="D32:D37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1.0" footer="0.0" header="0.0" left="0.25" right="0.25" top="1.0"/>
  <pageSetup fitToHeight="0" paperSize="5" cellComments="atEnd" orientation="landscape" pageOrder="overThenDown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35.13"/>
    <col customWidth="1" min="10" max="10" width="61.25"/>
  </cols>
  <sheetData>
    <row r="1" ht="66.75" customHeight="1">
      <c r="A1" s="1" t="s">
        <v>692</v>
      </c>
      <c r="J1" s="2" t="s">
        <v>1</v>
      </c>
    </row>
    <row r="2">
      <c r="A2" s="3" t="s">
        <v>2</v>
      </c>
      <c r="B2" s="5" t="s">
        <v>154</v>
      </c>
      <c r="J2" s="13" t="s">
        <v>6</v>
      </c>
    </row>
    <row r="3">
      <c r="A3" s="3" t="s">
        <v>14</v>
      </c>
      <c r="B3" s="5" t="s">
        <v>703</v>
      </c>
    </row>
    <row r="4">
      <c r="A4" s="3" t="s">
        <v>17</v>
      </c>
      <c r="B4" s="251" t="s">
        <v>626</v>
      </c>
      <c r="J4" s="18" t="s">
        <v>20</v>
      </c>
    </row>
    <row r="5">
      <c r="A5" s="3" t="s">
        <v>26</v>
      </c>
      <c r="B5" s="256" t="s">
        <v>712</v>
      </c>
      <c r="J5" s="24" t="s">
        <v>30</v>
      </c>
    </row>
    <row r="6">
      <c r="A6" s="3" t="s">
        <v>34</v>
      </c>
      <c r="B6" s="5"/>
    </row>
    <row r="7">
      <c r="A7" s="3" t="s">
        <v>36</v>
      </c>
      <c r="B7" s="5" t="s">
        <v>717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719</v>
      </c>
      <c r="J9" s="26"/>
    </row>
    <row r="10" ht="18.75" customHeight="1">
      <c r="A10" s="27"/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725</v>
      </c>
    </row>
    <row r="12">
      <c r="A12" s="33" t="s">
        <v>726</v>
      </c>
      <c r="B12" s="27">
        <v>1.30002E7</v>
      </c>
      <c r="C12" s="27" t="b">
        <v>1</v>
      </c>
      <c r="D12" s="27" t="s">
        <v>58</v>
      </c>
      <c r="E12" s="37">
        <v>1.0</v>
      </c>
      <c r="F12" s="37">
        <v>180.0</v>
      </c>
      <c r="G12" s="38"/>
      <c r="H12" s="58" t="s">
        <v>730</v>
      </c>
      <c r="I12" s="267" t="s">
        <v>731</v>
      </c>
      <c r="J12" s="41"/>
    </row>
    <row r="13">
      <c r="A13" s="33" t="s">
        <v>734</v>
      </c>
      <c r="B13" s="27">
        <v>1.30004E7</v>
      </c>
      <c r="C13" s="27" t="b">
        <v>1</v>
      </c>
      <c r="D13" s="27" t="s">
        <v>71</v>
      </c>
      <c r="E13" s="37">
        <v>0.5</v>
      </c>
      <c r="F13" s="37">
        <v>120.0</v>
      </c>
      <c r="G13" s="38"/>
      <c r="H13" s="58" t="s">
        <v>740</v>
      </c>
      <c r="I13" s="267" t="s">
        <v>731</v>
      </c>
      <c r="J13" s="41" t="s">
        <v>742</v>
      </c>
    </row>
    <row r="14">
      <c r="A14" s="33" t="s">
        <v>744</v>
      </c>
      <c r="B14" s="27">
        <v>1.30005E7</v>
      </c>
      <c r="C14" s="27" t="b">
        <v>1</v>
      </c>
      <c r="D14" s="27" t="s">
        <v>71</v>
      </c>
      <c r="E14" s="37">
        <v>0.5</v>
      </c>
      <c r="F14" s="37">
        <v>150.0</v>
      </c>
      <c r="G14" s="38"/>
      <c r="H14" s="58" t="s">
        <v>740</v>
      </c>
      <c r="I14" s="267" t="s">
        <v>731</v>
      </c>
      <c r="J14" s="41" t="s">
        <v>745</v>
      </c>
    </row>
    <row r="15">
      <c r="A15" s="33" t="s">
        <v>746</v>
      </c>
      <c r="B15" s="27">
        <v>1.30006E7</v>
      </c>
      <c r="C15" s="27" t="b">
        <v>1</v>
      </c>
      <c r="D15" s="27" t="s">
        <v>82</v>
      </c>
      <c r="E15" s="37">
        <v>1.0</v>
      </c>
      <c r="F15" s="37">
        <v>120.0</v>
      </c>
      <c r="G15" s="38"/>
      <c r="H15" s="58" t="s">
        <v>747</v>
      </c>
      <c r="I15" s="267" t="s">
        <v>731</v>
      </c>
      <c r="J15" s="45" t="s">
        <v>748</v>
      </c>
    </row>
    <row r="16">
      <c r="A16" s="33" t="s">
        <v>749</v>
      </c>
      <c r="B16" s="27">
        <v>1.300061E7</v>
      </c>
      <c r="C16" s="27" t="b">
        <v>1</v>
      </c>
      <c r="D16" s="27" t="s">
        <v>96</v>
      </c>
      <c r="E16" s="37">
        <v>2.0</v>
      </c>
      <c r="F16" s="37">
        <v>60.0</v>
      </c>
      <c r="G16" s="38"/>
      <c r="H16" s="58" t="s">
        <v>747</v>
      </c>
      <c r="I16" s="267" t="s">
        <v>731</v>
      </c>
      <c r="J16" s="75" t="s">
        <v>750</v>
      </c>
    </row>
    <row r="17">
      <c r="A17" s="51"/>
      <c r="B17" s="52"/>
      <c r="C17" s="52"/>
      <c r="D17" s="52" t="s">
        <v>101</v>
      </c>
      <c r="E17" s="54">
        <f t="shared" ref="E17:F17" si="1">sum(E12:E16)</f>
        <v>5</v>
      </c>
      <c r="F17" s="54">
        <f t="shared" si="1"/>
        <v>630</v>
      </c>
      <c r="G17" s="70"/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30" t="s">
        <v>756</v>
      </c>
      <c r="J19" s="26"/>
    </row>
    <row r="20" ht="18.75" customHeight="1">
      <c r="A20" s="27"/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759</v>
      </c>
    </row>
    <row r="22">
      <c r="A22" s="33" t="s">
        <v>726</v>
      </c>
      <c r="B22" s="27">
        <v>1.30002E7</v>
      </c>
      <c r="C22" s="27" t="b">
        <v>1</v>
      </c>
      <c r="D22" s="27" t="s">
        <v>58</v>
      </c>
      <c r="E22" s="37">
        <v>1.0</v>
      </c>
      <c r="F22" s="37">
        <v>120.0</v>
      </c>
      <c r="G22" s="38"/>
      <c r="H22" s="58" t="s">
        <v>761</v>
      </c>
      <c r="I22" s="267"/>
      <c r="J22" s="41"/>
    </row>
    <row r="23">
      <c r="A23" s="33" t="s">
        <v>762</v>
      </c>
      <c r="B23" s="27">
        <v>1.30022E7</v>
      </c>
      <c r="C23" s="27" t="b">
        <v>1</v>
      </c>
      <c r="D23" s="27" t="s">
        <v>71</v>
      </c>
      <c r="E23" s="37">
        <v>1.0</v>
      </c>
      <c r="F23" s="37">
        <v>72.0</v>
      </c>
      <c r="G23" s="38"/>
      <c r="H23" s="58" t="s">
        <v>761</v>
      </c>
      <c r="I23" s="267"/>
      <c r="J23" s="75" t="s">
        <v>765</v>
      </c>
    </row>
    <row r="24">
      <c r="A24" s="33" t="s">
        <v>762</v>
      </c>
      <c r="B24" s="27">
        <v>1.30022E7</v>
      </c>
      <c r="C24" s="27" t="b">
        <v>1</v>
      </c>
      <c r="D24" s="27" t="s">
        <v>71</v>
      </c>
      <c r="E24" s="37">
        <v>1.0</v>
      </c>
      <c r="F24" s="37">
        <v>72.0</v>
      </c>
      <c r="G24" s="38"/>
      <c r="H24" s="58" t="s">
        <v>768</v>
      </c>
      <c r="I24" s="267" t="s">
        <v>769</v>
      </c>
      <c r="J24" s="75" t="s">
        <v>765</v>
      </c>
    </row>
    <row r="25">
      <c r="A25" s="33" t="s">
        <v>770</v>
      </c>
      <c r="B25" s="27">
        <v>1.30023E7</v>
      </c>
      <c r="C25" s="27" t="b">
        <v>1</v>
      </c>
      <c r="D25" s="27" t="s">
        <v>82</v>
      </c>
      <c r="E25" s="37">
        <v>1.0</v>
      </c>
      <c r="F25" s="37">
        <v>36.0</v>
      </c>
      <c r="G25" s="38"/>
      <c r="H25" s="58" t="s">
        <v>768</v>
      </c>
      <c r="I25" s="267" t="s">
        <v>769</v>
      </c>
      <c r="J25" s="75" t="s">
        <v>773</v>
      </c>
    </row>
    <row r="26">
      <c r="A26" s="33" t="s">
        <v>774</v>
      </c>
      <c r="B26" s="27">
        <v>1.30025E7</v>
      </c>
      <c r="C26" s="27" t="b">
        <v>1</v>
      </c>
      <c r="D26" s="27" t="s">
        <v>96</v>
      </c>
      <c r="E26" s="37">
        <v>2.0</v>
      </c>
      <c r="F26" s="37">
        <v>36.0</v>
      </c>
      <c r="G26" s="38"/>
      <c r="H26" s="58" t="s">
        <v>768</v>
      </c>
      <c r="I26" s="267" t="s">
        <v>769</v>
      </c>
      <c r="J26" s="75" t="s">
        <v>773</v>
      </c>
    </row>
    <row r="27">
      <c r="A27" s="51"/>
      <c r="B27" s="52"/>
      <c r="C27" s="52"/>
      <c r="D27" s="52" t="s">
        <v>101</v>
      </c>
      <c r="E27" s="54">
        <f t="shared" ref="E27:F27" si="2">sum(E22:E26)</f>
        <v>6</v>
      </c>
      <c r="F27" s="54">
        <f t="shared" si="2"/>
        <v>336</v>
      </c>
      <c r="G27" s="70"/>
      <c r="H27" s="54"/>
      <c r="I27" s="54"/>
      <c r="J27" s="56"/>
    </row>
    <row r="28" ht="7.5" customHeight="1">
      <c r="A28" s="23"/>
      <c r="B28" s="23"/>
      <c r="C28" s="23"/>
      <c r="D28" s="23"/>
      <c r="E28" s="25"/>
      <c r="F28" s="23"/>
      <c r="G28" s="23"/>
      <c r="H28" s="23"/>
      <c r="I28" s="25"/>
      <c r="J28" s="23"/>
    </row>
    <row r="29" ht="18.75" customHeight="1">
      <c r="A29" s="30" t="s">
        <v>781</v>
      </c>
      <c r="J29" s="26"/>
    </row>
    <row r="30" ht="18.75" customHeight="1">
      <c r="A30" s="27"/>
      <c r="J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48</v>
      </c>
      <c r="G31" s="29" t="s">
        <v>49</v>
      </c>
      <c r="H31" s="29" t="s">
        <v>50</v>
      </c>
      <c r="I31" s="29" t="s">
        <v>51</v>
      </c>
      <c r="J31" s="29" t="s">
        <v>782</v>
      </c>
    </row>
    <row r="32">
      <c r="A32" s="33" t="s">
        <v>783</v>
      </c>
      <c r="B32" s="33">
        <v>1.30082E7</v>
      </c>
      <c r="C32" s="33" t="b">
        <v>1</v>
      </c>
      <c r="D32" s="33" t="s">
        <v>58</v>
      </c>
      <c r="E32" s="85">
        <v>1.0</v>
      </c>
      <c r="F32" s="85">
        <v>90.0</v>
      </c>
      <c r="G32" s="86"/>
      <c r="H32" s="85" t="s">
        <v>784</v>
      </c>
      <c r="I32" s="85" t="s">
        <v>785</v>
      </c>
      <c r="J32" s="88"/>
    </row>
    <row r="33">
      <c r="A33" s="33" t="s">
        <v>221</v>
      </c>
      <c r="B33" s="33">
        <v>1.30088E7</v>
      </c>
      <c r="C33" s="33" t="b">
        <v>1</v>
      </c>
      <c r="D33" s="33" t="s">
        <v>58</v>
      </c>
      <c r="E33" s="85">
        <v>1.0</v>
      </c>
      <c r="F33" s="85">
        <v>90.0</v>
      </c>
      <c r="G33" s="86"/>
      <c r="H33" s="85" t="s">
        <v>784</v>
      </c>
      <c r="I33" s="85" t="s">
        <v>785</v>
      </c>
      <c r="J33" s="88"/>
    </row>
    <row r="34">
      <c r="A34" s="33" t="s">
        <v>787</v>
      </c>
      <c r="B34" s="33"/>
      <c r="C34" s="33" t="b">
        <v>0</v>
      </c>
      <c r="D34" s="33"/>
      <c r="E34" s="85"/>
      <c r="F34" s="85"/>
      <c r="G34" s="86"/>
      <c r="H34" s="85" t="s">
        <v>788</v>
      </c>
      <c r="I34" s="85" t="s">
        <v>789</v>
      </c>
      <c r="J34" s="129"/>
    </row>
    <row r="35">
      <c r="A35" s="33" t="s">
        <v>229</v>
      </c>
      <c r="B35" s="33">
        <v>1.30089E7</v>
      </c>
      <c r="C35" s="33" t="b">
        <v>1</v>
      </c>
      <c r="D35" s="33" t="s">
        <v>82</v>
      </c>
      <c r="E35" s="85">
        <v>1.0</v>
      </c>
      <c r="F35" s="85">
        <v>150.0</v>
      </c>
      <c r="G35" s="86"/>
      <c r="H35" s="85" t="s">
        <v>788</v>
      </c>
      <c r="I35" s="85" t="s">
        <v>789</v>
      </c>
      <c r="J35" s="129" t="s">
        <v>795</v>
      </c>
    </row>
    <row r="36">
      <c r="A36" s="33" t="s">
        <v>235</v>
      </c>
      <c r="B36" s="33">
        <v>1.300845E7</v>
      </c>
      <c r="C36" s="33" t="b">
        <v>1</v>
      </c>
      <c r="D36" s="33" t="s">
        <v>96</v>
      </c>
      <c r="E36" s="85">
        <v>2.0</v>
      </c>
      <c r="F36" s="85">
        <v>60.0</v>
      </c>
      <c r="G36" s="86"/>
      <c r="H36" s="85" t="s">
        <v>788</v>
      </c>
      <c r="I36" s="85" t="s">
        <v>789</v>
      </c>
      <c r="J36" s="88"/>
    </row>
    <row r="37">
      <c r="A37" s="51"/>
      <c r="B37" s="52"/>
      <c r="C37" s="52"/>
      <c r="D37" s="52" t="s">
        <v>101</v>
      </c>
      <c r="E37" s="54">
        <f t="shared" ref="E37:F37" si="3">sum(E32:E36)</f>
        <v>5</v>
      </c>
      <c r="F37" s="54">
        <f t="shared" si="3"/>
        <v>390</v>
      </c>
      <c r="G37" s="70"/>
      <c r="H37" s="54"/>
      <c r="I37" s="54"/>
      <c r="J37" s="56"/>
    </row>
    <row r="38" ht="7.5" customHeight="1">
      <c r="A38" s="23"/>
      <c r="B38" s="23"/>
      <c r="C38" s="23"/>
      <c r="D38" s="23"/>
      <c r="E38" s="25"/>
      <c r="F38" s="23"/>
      <c r="G38" s="23"/>
      <c r="H38" s="23"/>
      <c r="I38" s="25"/>
      <c r="J38" s="23"/>
    </row>
    <row r="39" ht="18.75" customHeight="1">
      <c r="A39" s="30" t="s">
        <v>802</v>
      </c>
      <c r="J39" s="26"/>
    </row>
    <row r="40" ht="18.75" customHeight="1">
      <c r="A40" s="27"/>
      <c r="J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48</v>
      </c>
      <c r="G41" s="29" t="s">
        <v>49</v>
      </c>
      <c r="H41" s="29" t="s">
        <v>50</v>
      </c>
      <c r="I41" s="29" t="s">
        <v>51</v>
      </c>
      <c r="J41" s="29" t="s">
        <v>805</v>
      </c>
    </row>
    <row r="42">
      <c r="A42" s="33" t="s">
        <v>807</v>
      </c>
      <c r="B42" s="33">
        <v>1.30112E7</v>
      </c>
      <c r="C42" s="33" t="b">
        <v>1</v>
      </c>
      <c r="D42" s="33" t="s">
        <v>58</v>
      </c>
      <c r="E42" s="85">
        <v>1.0</v>
      </c>
      <c r="F42" s="85">
        <v>150.0</v>
      </c>
      <c r="G42" s="86"/>
      <c r="H42" s="85" t="s">
        <v>810</v>
      </c>
      <c r="I42" s="284" t="s">
        <v>811</v>
      </c>
      <c r="J42" s="88"/>
    </row>
    <row r="43">
      <c r="A43" s="33" t="s">
        <v>413</v>
      </c>
      <c r="B43" s="33">
        <v>1.30344E7</v>
      </c>
      <c r="C43" s="33" t="b">
        <v>1</v>
      </c>
      <c r="D43" s="33" t="s">
        <v>71</v>
      </c>
      <c r="E43" s="85">
        <v>1.0</v>
      </c>
      <c r="F43" s="85">
        <v>150.0</v>
      </c>
      <c r="G43" s="86"/>
      <c r="H43" s="115" t="s">
        <v>813</v>
      </c>
      <c r="I43" s="284" t="s">
        <v>814</v>
      </c>
      <c r="J43" s="33" t="s">
        <v>75</v>
      </c>
    </row>
    <row r="44">
      <c r="A44" s="33" t="s">
        <v>310</v>
      </c>
      <c r="B44" s="33" t="s">
        <v>311</v>
      </c>
      <c r="C44" s="33" t="b">
        <v>1</v>
      </c>
      <c r="D44" s="33" t="s">
        <v>82</v>
      </c>
      <c r="E44" s="85">
        <v>1.0</v>
      </c>
      <c r="F44" s="85">
        <v>60.0</v>
      </c>
      <c r="G44" s="86"/>
      <c r="H44" s="85" t="s">
        <v>816</v>
      </c>
      <c r="I44" s="284" t="s">
        <v>88</v>
      </c>
      <c r="J44" s="33" t="s">
        <v>75</v>
      </c>
    </row>
    <row r="45">
      <c r="A45" s="33" t="s">
        <v>817</v>
      </c>
      <c r="B45" s="33" t="s">
        <v>429</v>
      </c>
      <c r="C45" s="33" t="b">
        <v>1</v>
      </c>
      <c r="D45" s="33" t="s">
        <v>96</v>
      </c>
      <c r="E45" s="85">
        <v>1.0</v>
      </c>
      <c r="F45" s="85">
        <v>30.0</v>
      </c>
      <c r="G45" s="86"/>
      <c r="H45" s="85" t="s">
        <v>819</v>
      </c>
      <c r="I45" s="284" t="s">
        <v>88</v>
      </c>
      <c r="J45" s="33"/>
    </row>
    <row r="46">
      <c r="A46" s="186" t="s">
        <v>820</v>
      </c>
      <c r="B46" s="33"/>
      <c r="C46" s="33" t="b">
        <v>0</v>
      </c>
      <c r="D46" s="33" t="s">
        <v>82</v>
      </c>
      <c r="E46" s="85">
        <v>0.5</v>
      </c>
      <c r="F46" s="85"/>
      <c r="G46" s="115"/>
      <c r="H46" s="115" t="s">
        <v>813</v>
      </c>
      <c r="I46" s="284" t="s">
        <v>88</v>
      </c>
      <c r="J46" s="33" t="s">
        <v>75</v>
      </c>
    </row>
    <row r="47">
      <c r="A47" s="51"/>
      <c r="B47" s="52"/>
      <c r="C47" s="52"/>
      <c r="D47" s="52" t="s">
        <v>101</v>
      </c>
      <c r="E47" s="211">
        <v>8.0</v>
      </c>
      <c r="F47" s="211">
        <v>238.0</v>
      </c>
      <c r="G47" s="70">
        <v>441.0</v>
      </c>
      <c r="H47" s="54"/>
      <c r="I47" s="54"/>
      <c r="J47" s="56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30:I30"/>
    <mergeCell ref="A39:I39"/>
    <mergeCell ref="A40:I40"/>
    <mergeCell ref="B6:I6"/>
    <mergeCell ref="B7:I7"/>
    <mergeCell ref="A9:I9"/>
    <mergeCell ref="A10:I10"/>
    <mergeCell ref="A19:I19"/>
    <mergeCell ref="A20:I20"/>
    <mergeCell ref="A29:I29"/>
  </mergeCells>
  <dataValidations>
    <dataValidation type="list" allowBlank="1" sqref="D12:D16 D22:D26 D32:D36 D42:D46">
      <formula1>'Data Validation'!$A$2:$A$5</formula1>
    </dataValidation>
    <dataValidation type="list" allowBlank="1" sqref="E12:E16 E22:E26 E32:E36 E42:E46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paperSize="3" cellComments="atEnd" orientation="landscape" pageOrder="overThenDown"/>
  <rowBreaks count="2" manualBreakCount="2">
    <brk man="1"/>
    <brk id="47" man="1"/>
  </rowBrea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6.75"/>
  </cols>
  <sheetData>
    <row r="1" ht="66.75" customHeight="1">
      <c r="A1" s="1"/>
      <c r="J1" s="2" t="s">
        <v>1</v>
      </c>
    </row>
    <row r="2">
      <c r="A2" s="3" t="s">
        <v>2</v>
      </c>
      <c r="B2" s="5" t="s">
        <v>178</v>
      </c>
      <c r="J2" s="13" t="s">
        <v>6</v>
      </c>
    </row>
    <row r="3">
      <c r="A3" s="3" t="s">
        <v>14</v>
      </c>
      <c r="B3" s="5" t="s">
        <v>741</v>
      </c>
    </row>
    <row r="4">
      <c r="A4" s="3" t="s">
        <v>17</v>
      </c>
      <c r="B4" s="5" t="s">
        <v>743</v>
      </c>
      <c r="J4" s="18" t="s">
        <v>20</v>
      </c>
    </row>
    <row r="5">
      <c r="A5" s="3" t="s">
        <v>26</v>
      </c>
      <c r="B5" s="212">
        <v>5.0</v>
      </c>
      <c r="J5" s="24" t="s">
        <v>30</v>
      </c>
    </row>
    <row r="6">
      <c r="A6" s="3" t="s">
        <v>34</v>
      </c>
      <c r="B6" s="19">
        <v>3.0</v>
      </c>
    </row>
    <row r="7">
      <c r="A7" s="3" t="s">
        <v>36</v>
      </c>
      <c r="B7" s="5" t="s">
        <v>754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308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758</v>
      </c>
    </row>
    <row r="12">
      <c r="A12" s="186" t="s">
        <v>760</v>
      </c>
      <c r="B12" s="33">
        <v>1.30112E7</v>
      </c>
      <c r="C12" s="27" t="b">
        <v>1</v>
      </c>
      <c r="D12" s="27" t="s">
        <v>58</v>
      </c>
      <c r="E12" s="37">
        <v>1.0</v>
      </c>
      <c r="F12" s="37">
        <v>243.0</v>
      </c>
      <c r="G12" s="180"/>
      <c r="H12" s="115" t="s">
        <v>763</v>
      </c>
      <c r="I12" s="85" t="s">
        <v>764</v>
      </c>
      <c r="J12" s="41"/>
    </row>
    <row r="13">
      <c r="A13" s="186" t="s">
        <v>760</v>
      </c>
      <c r="B13" s="33">
        <v>1.30112E7</v>
      </c>
      <c r="C13" s="27" t="b">
        <v>1</v>
      </c>
      <c r="D13" s="27" t="s">
        <v>58</v>
      </c>
      <c r="E13" s="37">
        <v>1.0</v>
      </c>
      <c r="F13" s="37">
        <v>243.0</v>
      </c>
      <c r="G13" s="180"/>
      <c r="H13" s="115" t="s">
        <v>766</v>
      </c>
      <c r="I13" s="85" t="s">
        <v>764</v>
      </c>
      <c r="J13" s="41"/>
    </row>
    <row r="14">
      <c r="A14" s="280" t="s">
        <v>767</v>
      </c>
      <c r="B14" s="33"/>
      <c r="C14" s="27" t="b">
        <v>1</v>
      </c>
      <c r="D14" s="27" t="s">
        <v>82</v>
      </c>
      <c r="E14" s="37">
        <v>1.0</v>
      </c>
      <c r="F14" s="37">
        <v>180.0</v>
      </c>
      <c r="G14" s="38"/>
      <c r="H14" s="85" t="s">
        <v>771</v>
      </c>
      <c r="I14" s="85" t="s">
        <v>88</v>
      </c>
      <c r="J14" s="45" t="s">
        <v>313</v>
      </c>
    </row>
    <row r="15">
      <c r="A15" s="33" t="s">
        <v>772</v>
      </c>
      <c r="B15" s="33">
        <v>1.30115E7</v>
      </c>
      <c r="C15" s="27" t="b">
        <v>1</v>
      </c>
      <c r="D15" s="27" t="s">
        <v>71</v>
      </c>
      <c r="E15" s="37">
        <v>1.0</v>
      </c>
      <c r="F15" s="37">
        <v>152.0</v>
      </c>
      <c r="G15" s="38"/>
      <c r="H15" s="85" t="s">
        <v>775</v>
      </c>
      <c r="I15" s="85" t="s">
        <v>494</v>
      </c>
      <c r="J15" s="45" t="s">
        <v>776</v>
      </c>
    </row>
    <row r="16">
      <c r="A16" s="186" t="s">
        <v>591</v>
      </c>
      <c r="B16" s="33">
        <v>1.27013E7</v>
      </c>
      <c r="C16" s="27" t="b">
        <v>1</v>
      </c>
      <c r="D16" s="27" t="s">
        <v>96</v>
      </c>
      <c r="E16" s="37">
        <v>2.0</v>
      </c>
      <c r="F16" s="37">
        <v>0.0</v>
      </c>
      <c r="G16" s="180"/>
      <c r="H16" s="115" t="s">
        <v>777</v>
      </c>
      <c r="I16" s="136" t="s">
        <v>778</v>
      </c>
      <c r="J16" s="41"/>
    </row>
    <row r="17">
      <c r="A17" s="51"/>
      <c r="B17" s="52"/>
      <c r="C17" s="52"/>
      <c r="D17" s="52" t="s">
        <v>101</v>
      </c>
      <c r="E17" s="54">
        <f t="shared" ref="E17:F17" si="1">sum(E12:E16)</f>
        <v>6</v>
      </c>
      <c r="F17" s="54">
        <f t="shared" si="1"/>
        <v>818</v>
      </c>
      <c r="G17" s="54"/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26" t="s">
        <v>135</v>
      </c>
      <c r="J19" s="26"/>
    </row>
    <row r="20" ht="18.75" customHeight="1">
      <c r="A20" s="27" t="s">
        <v>786</v>
      </c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790</v>
      </c>
    </row>
    <row r="22">
      <c r="A22" s="186" t="s">
        <v>760</v>
      </c>
      <c r="B22" s="27">
        <v>1.30112E7</v>
      </c>
      <c r="C22" s="27" t="b">
        <v>1</v>
      </c>
      <c r="D22" s="27" t="s">
        <v>58</v>
      </c>
      <c r="E22" s="37">
        <v>1.0</v>
      </c>
      <c r="F22" s="37">
        <v>243.0</v>
      </c>
      <c r="G22" s="180"/>
      <c r="H22" s="115" t="s">
        <v>763</v>
      </c>
      <c r="I22" s="85" t="s">
        <v>764</v>
      </c>
      <c r="J22" s="41"/>
    </row>
    <row r="23">
      <c r="A23" s="186" t="s">
        <v>760</v>
      </c>
      <c r="B23" s="27">
        <v>1.30112E7</v>
      </c>
      <c r="C23" s="27" t="b">
        <v>1</v>
      </c>
      <c r="D23" s="27" t="s">
        <v>58</v>
      </c>
      <c r="E23" s="37">
        <v>1.0</v>
      </c>
      <c r="F23" s="37">
        <v>243.0</v>
      </c>
      <c r="G23" s="180"/>
      <c r="H23" s="115" t="s">
        <v>766</v>
      </c>
      <c r="I23" s="85" t="s">
        <v>764</v>
      </c>
      <c r="J23" s="41"/>
    </row>
    <row r="24">
      <c r="A24" s="33" t="s">
        <v>67</v>
      </c>
      <c r="B24" s="27" t="s">
        <v>70</v>
      </c>
      <c r="C24" s="27" t="b">
        <v>1</v>
      </c>
      <c r="D24" s="27" t="s">
        <v>71</v>
      </c>
      <c r="E24" s="37">
        <v>1.0</v>
      </c>
      <c r="F24" s="37">
        <v>90.0</v>
      </c>
      <c r="G24" s="38"/>
      <c r="H24" s="85" t="s">
        <v>799</v>
      </c>
      <c r="I24" s="85" t="s">
        <v>88</v>
      </c>
      <c r="J24" s="45" t="s">
        <v>75</v>
      </c>
    </row>
    <row r="25">
      <c r="A25" s="33" t="s">
        <v>97</v>
      </c>
      <c r="B25" s="27">
        <v>1.303465E7</v>
      </c>
      <c r="C25" s="27" t="b">
        <v>1</v>
      </c>
      <c r="D25" s="27" t="s">
        <v>82</v>
      </c>
      <c r="E25" s="37">
        <v>0.5</v>
      </c>
      <c r="F25" s="37">
        <v>30.0</v>
      </c>
      <c r="G25" s="38"/>
      <c r="H25" s="85" t="s">
        <v>799</v>
      </c>
      <c r="I25" s="85" t="s">
        <v>88</v>
      </c>
      <c r="J25" s="45" t="s">
        <v>412</v>
      </c>
    </row>
    <row r="26">
      <c r="A26" s="132" t="s">
        <v>83</v>
      </c>
      <c r="B26" s="27" t="s">
        <v>84</v>
      </c>
      <c r="C26" s="27" t="b">
        <v>1</v>
      </c>
      <c r="D26" s="27" t="s">
        <v>82</v>
      </c>
      <c r="E26" s="37">
        <v>1.0</v>
      </c>
      <c r="F26" s="37">
        <v>25.0</v>
      </c>
      <c r="G26" s="38"/>
      <c r="H26" s="85" t="s">
        <v>766</v>
      </c>
      <c r="I26" s="85" t="s">
        <v>88</v>
      </c>
      <c r="J26" s="45" t="s">
        <v>800</v>
      </c>
    </row>
    <row r="27">
      <c r="A27" s="132" t="s">
        <v>290</v>
      </c>
      <c r="B27" s="27"/>
      <c r="C27" s="27" t="b">
        <v>0</v>
      </c>
      <c r="D27" s="27" t="s">
        <v>71</v>
      </c>
      <c r="E27" s="37">
        <v>0.5</v>
      </c>
      <c r="F27" s="37"/>
      <c r="G27" s="38"/>
      <c r="H27" s="85" t="s">
        <v>777</v>
      </c>
      <c r="I27" s="136" t="s">
        <v>778</v>
      </c>
      <c r="J27" s="45"/>
    </row>
    <row r="28">
      <c r="A28" s="132" t="s">
        <v>300</v>
      </c>
      <c r="B28" s="27"/>
      <c r="C28" s="27" t="b">
        <v>0</v>
      </c>
      <c r="D28" s="27" t="s">
        <v>82</v>
      </c>
      <c r="E28" s="37">
        <v>0.5</v>
      </c>
      <c r="F28" s="37"/>
      <c r="G28" s="38"/>
      <c r="H28" s="85" t="s">
        <v>777</v>
      </c>
      <c r="I28" s="136" t="s">
        <v>778</v>
      </c>
      <c r="J28" s="45"/>
    </row>
    <row r="29">
      <c r="A29" s="186" t="s">
        <v>180</v>
      </c>
      <c r="B29" s="27"/>
      <c r="C29" s="27" t="b">
        <v>0</v>
      </c>
      <c r="D29" s="27" t="s">
        <v>82</v>
      </c>
      <c r="E29" s="37">
        <v>0.5</v>
      </c>
      <c r="F29" s="37"/>
      <c r="G29" s="38"/>
      <c r="H29" s="85" t="s">
        <v>799</v>
      </c>
      <c r="I29" s="85" t="s">
        <v>88</v>
      </c>
      <c r="J29" s="45"/>
    </row>
    <row r="30">
      <c r="A30" s="33" t="s">
        <v>192</v>
      </c>
      <c r="B30" s="27" t="s">
        <v>808</v>
      </c>
      <c r="C30" s="27" t="b">
        <v>1</v>
      </c>
      <c r="D30" s="27" t="s">
        <v>96</v>
      </c>
      <c r="E30" s="37">
        <v>2.0</v>
      </c>
      <c r="F30" s="37">
        <v>80.0</v>
      </c>
      <c r="G30" s="38"/>
      <c r="H30" s="85" t="s">
        <v>777</v>
      </c>
      <c r="I30" s="136" t="s">
        <v>778</v>
      </c>
      <c r="J30" s="45"/>
    </row>
    <row r="31">
      <c r="A31" s="186" t="s">
        <v>591</v>
      </c>
      <c r="B31" s="27">
        <v>1.27013E7</v>
      </c>
      <c r="C31" s="27" t="b">
        <v>1</v>
      </c>
      <c r="D31" s="27" t="s">
        <v>96</v>
      </c>
      <c r="E31" s="37">
        <v>2.0</v>
      </c>
      <c r="F31" s="37">
        <v>0.0</v>
      </c>
      <c r="G31" s="180"/>
      <c r="H31" s="115" t="s">
        <v>777</v>
      </c>
      <c r="I31" s="136" t="s">
        <v>778</v>
      </c>
      <c r="J31" s="41"/>
    </row>
    <row r="32">
      <c r="A32" s="51"/>
      <c r="B32" s="52"/>
      <c r="C32" s="52"/>
      <c r="D32" s="52" t="s">
        <v>101</v>
      </c>
      <c r="E32" s="54">
        <f t="shared" ref="E32:F32" si="2">sum(E22:E31)</f>
        <v>10</v>
      </c>
      <c r="F32" s="54">
        <f t="shared" si="2"/>
        <v>711</v>
      </c>
      <c r="G32" s="54"/>
      <c r="H32" s="54"/>
      <c r="I32" s="54"/>
      <c r="J32" s="56"/>
    </row>
    <row r="33" ht="7.5" customHeight="1">
      <c r="A33" s="23"/>
      <c r="B33" s="23"/>
      <c r="C33" s="23"/>
      <c r="D33" s="23"/>
      <c r="E33" s="25"/>
      <c r="F33" s="23"/>
      <c r="G33" s="23"/>
      <c r="H33" s="23"/>
      <c r="I33" s="25"/>
      <c r="J33" s="23"/>
    </row>
    <row r="34" ht="18.75" customHeight="1">
      <c r="A34" s="26" t="s">
        <v>111</v>
      </c>
      <c r="J34" s="26"/>
    </row>
    <row r="35" ht="18.75" customHeight="1">
      <c r="A35" s="33" t="s">
        <v>821</v>
      </c>
      <c r="J35" s="27"/>
    </row>
    <row r="36">
      <c r="A36" s="28" t="s">
        <v>41</v>
      </c>
      <c r="B36" s="28" t="s">
        <v>42</v>
      </c>
      <c r="C36" s="29" t="s">
        <v>43</v>
      </c>
      <c r="D36" s="28" t="s">
        <v>46</v>
      </c>
      <c r="E36" s="29" t="s">
        <v>47</v>
      </c>
      <c r="F36" s="29" t="s">
        <v>48</v>
      </c>
      <c r="G36" s="29" t="s">
        <v>49</v>
      </c>
      <c r="H36" s="29" t="s">
        <v>50</v>
      </c>
      <c r="I36" s="29" t="s">
        <v>51</v>
      </c>
      <c r="J36" s="29" t="s">
        <v>822</v>
      </c>
    </row>
    <row r="37">
      <c r="A37" s="69" t="s">
        <v>823</v>
      </c>
      <c r="B37" s="34"/>
      <c r="C37" s="27" t="b">
        <v>1</v>
      </c>
      <c r="D37" s="27" t="s">
        <v>58</v>
      </c>
      <c r="E37" s="37">
        <v>1.0</v>
      </c>
      <c r="F37" s="37">
        <v>150.0</v>
      </c>
      <c r="G37" s="38"/>
      <c r="H37" s="63" t="s">
        <v>825</v>
      </c>
      <c r="I37" s="37"/>
      <c r="J37" s="41"/>
    </row>
    <row r="38">
      <c r="A38" s="69" t="s">
        <v>823</v>
      </c>
      <c r="B38" s="34"/>
      <c r="C38" s="27" t="b">
        <v>1</v>
      </c>
      <c r="D38" s="27" t="s">
        <v>58</v>
      </c>
      <c r="E38" s="37">
        <v>1.0</v>
      </c>
      <c r="F38" s="37">
        <v>150.0</v>
      </c>
      <c r="G38" s="38"/>
      <c r="H38" s="63" t="s">
        <v>826</v>
      </c>
      <c r="I38" s="37"/>
      <c r="J38" s="41"/>
    </row>
    <row r="39">
      <c r="A39" s="69" t="s">
        <v>827</v>
      </c>
      <c r="B39" s="34"/>
      <c r="C39" s="27" t="b">
        <v>1</v>
      </c>
      <c r="D39" s="27" t="s">
        <v>71</v>
      </c>
      <c r="E39" s="37">
        <v>1.0</v>
      </c>
      <c r="F39" s="37">
        <v>90.0</v>
      </c>
      <c r="G39" s="38"/>
      <c r="H39" s="63" t="s">
        <v>825</v>
      </c>
      <c r="I39" s="66"/>
      <c r="J39" s="41"/>
    </row>
    <row r="40">
      <c r="A40" s="69" t="s">
        <v>827</v>
      </c>
      <c r="B40" s="34"/>
      <c r="C40" s="27" t="b">
        <v>1</v>
      </c>
      <c r="D40" s="27" t="s">
        <v>71</v>
      </c>
      <c r="E40" s="37">
        <v>1.0</v>
      </c>
      <c r="F40" s="37">
        <v>90.0</v>
      </c>
      <c r="G40" s="38"/>
      <c r="H40" s="63" t="s">
        <v>826</v>
      </c>
      <c r="I40" s="66"/>
      <c r="J40" s="41"/>
    </row>
    <row r="41">
      <c r="A41" s="69" t="s">
        <v>829</v>
      </c>
      <c r="B41" s="34"/>
      <c r="C41" s="27" t="b">
        <v>1</v>
      </c>
      <c r="D41" s="27" t="s">
        <v>82</v>
      </c>
      <c r="E41" s="37">
        <v>2.0</v>
      </c>
      <c r="F41" s="37">
        <v>60.0</v>
      </c>
      <c r="G41" s="38"/>
      <c r="H41" s="63" t="s">
        <v>831</v>
      </c>
      <c r="I41" s="66"/>
      <c r="J41" s="45" t="s">
        <v>832</v>
      </c>
    </row>
    <row r="42">
      <c r="A42" s="27"/>
      <c r="B42" s="34"/>
      <c r="C42" s="27"/>
      <c r="D42" s="27"/>
      <c r="E42" s="37"/>
      <c r="F42" s="37"/>
      <c r="G42" s="37"/>
      <c r="H42" s="37"/>
      <c r="I42" s="66"/>
      <c r="J42" s="45"/>
    </row>
    <row r="43">
      <c r="A43" s="51"/>
      <c r="B43" s="52"/>
      <c r="C43" s="52"/>
      <c r="D43" s="52" t="s">
        <v>101</v>
      </c>
      <c r="E43" s="54">
        <f t="shared" ref="E43:F43" si="3">sum(E37:E42)</f>
        <v>6</v>
      </c>
      <c r="F43" s="54">
        <f t="shared" si="3"/>
        <v>540</v>
      </c>
      <c r="G43" s="70">
        <v>230.0</v>
      </c>
      <c r="H43" s="54"/>
      <c r="I43" s="54"/>
      <c r="J43" s="56"/>
    </row>
    <row r="44" ht="7.5" customHeight="1">
      <c r="A44" s="23"/>
      <c r="B44" s="23"/>
      <c r="C44" s="23"/>
      <c r="D44" s="23"/>
      <c r="E44" s="25"/>
      <c r="F44" s="23"/>
      <c r="G44" s="23"/>
      <c r="H44" s="23"/>
      <c r="I44" s="25"/>
      <c r="J44" s="23"/>
    </row>
    <row r="45" ht="18.75" customHeight="1">
      <c r="A45" s="26" t="s">
        <v>169</v>
      </c>
      <c r="J45" s="26"/>
    </row>
    <row r="46" ht="18.75" customHeight="1">
      <c r="A46" s="33" t="s">
        <v>438</v>
      </c>
      <c r="J46" s="27"/>
    </row>
    <row r="47">
      <c r="A47" s="28" t="s">
        <v>41</v>
      </c>
      <c r="B47" s="28" t="s">
        <v>42</v>
      </c>
      <c r="C47" s="29" t="s">
        <v>43</v>
      </c>
      <c r="D47" s="28" t="s">
        <v>46</v>
      </c>
      <c r="E47" s="29" t="s">
        <v>47</v>
      </c>
      <c r="F47" s="29" t="s">
        <v>48</v>
      </c>
      <c r="G47" s="29" t="s">
        <v>49</v>
      </c>
      <c r="H47" s="29" t="s">
        <v>50</v>
      </c>
      <c r="I47" s="29" t="s">
        <v>51</v>
      </c>
      <c r="J47" s="29" t="s">
        <v>840</v>
      </c>
    </row>
    <row r="48">
      <c r="A48" s="69" t="s">
        <v>841</v>
      </c>
      <c r="B48" s="34"/>
      <c r="C48" s="27" t="b">
        <v>1</v>
      </c>
      <c r="D48" s="27" t="s">
        <v>58</v>
      </c>
      <c r="E48" s="37">
        <v>1.0</v>
      </c>
      <c r="F48" s="37">
        <v>168.0</v>
      </c>
      <c r="G48" s="38"/>
      <c r="H48" s="63" t="s">
        <v>845</v>
      </c>
      <c r="I48" s="63" t="s">
        <v>88</v>
      </c>
      <c r="J48" s="287"/>
    </row>
    <row r="49">
      <c r="A49" s="69" t="s">
        <v>841</v>
      </c>
      <c r="B49" s="34"/>
      <c r="C49" s="27" t="b">
        <v>1</v>
      </c>
      <c r="D49" s="27" t="s">
        <v>58</v>
      </c>
      <c r="E49" s="37">
        <v>1.0</v>
      </c>
      <c r="F49" s="37">
        <v>168.0</v>
      </c>
      <c r="G49" s="38"/>
      <c r="H49" s="63" t="s">
        <v>847</v>
      </c>
      <c r="I49" s="63" t="s">
        <v>848</v>
      </c>
      <c r="J49" s="287"/>
    </row>
    <row r="50">
      <c r="A50" s="69" t="s">
        <v>849</v>
      </c>
      <c r="B50" s="34"/>
      <c r="C50" s="27" t="b">
        <v>1</v>
      </c>
      <c r="D50" s="27" t="s">
        <v>82</v>
      </c>
      <c r="E50" s="37">
        <v>1.0</v>
      </c>
      <c r="F50" s="37">
        <v>30.0</v>
      </c>
      <c r="G50" s="38"/>
      <c r="H50" s="63" t="s">
        <v>845</v>
      </c>
      <c r="I50" s="63" t="s">
        <v>88</v>
      </c>
      <c r="J50" s="287"/>
    </row>
    <row r="51">
      <c r="A51" s="69" t="s">
        <v>849</v>
      </c>
      <c r="B51" s="34"/>
      <c r="C51" s="27" t="b">
        <v>1</v>
      </c>
      <c r="D51" s="27" t="s">
        <v>82</v>
      </c>
      <c r="E51" s="37">
        <v>1.0</v>
      </c>
      <c r="F51" s="37">
        <v>30.0</v>
      </c>
      <c r="G51" s="38"/>
      <c r="H51" s="63" t="s">
        <v>852</v>
      </c>
      <c r="I51" s="63" t="s">
        <v>853</v>
      </c>
      <c r="J51" s="287"/>
    </row>
    <row r="52">
      <c r="A52" s="69" t="s">
        <v>854</v>
      </c>
      <c r="B52" s="34"/>
      <c r="C52" s="27" t="b">
        <v>1</v>
      </c>
      <c r="D52" s="27" t="s">
        <v>96</v>
      </c>
      <c r="E52" s="37">
        <v>1.0</v>
      </c>
      <c r="F52" s="37">
        <v>30.0</v>
      </c>
      <c r="G52" s="38"/>
      <c r="H52" s="63" t="s">
        <v>855</v>
      </c>
      <c r="I52" s="63" t="s">
        <v>848</v>
      </c>
      <c r="J52" s="291" t="s">
        <v>153</v>
      </c>
    </row>
    <row r="53">
      <c r="A53" s="69" t="s">
        <v>576</v>
      </c>
      <c r="B53" s="34"/>
      <c r="C53" s="27" t="b">
        <v>1</v>
      </c>
      <c r="D53" s="27" t="s">
        <v>82</v>
      </c>
      <c r="E53" s="37">
        <v>1.0</v>
      </c>
      <c r="F53" s="37">
        <v>75.0</v>
      </c>
      <c r="G53" s="38"/>
      <c r="H53" s="292" t="s">
        <v>857</v>
      </c>
      <c r="I53" s="63" t="s">
        <v>853</v>
      </c>
      <c r="J53" s="287"/>
    </row>
    <row r="54">
      <c r="A54" s="69" t="s">
        <v>846</v>
      </c>
      <c r="B54" s="34"/>
      <c r="C54" s="27" t="b">
        <v>1</v>
      </c>
      <c r="D54" s="27" t="s">
        <v>96</v>
      </c>
      <c r="E54" s="37">
        <v>1.0</v>
      </c>
      <c r="F54" s="37">
        <v>25.0</v>
      </c>
      <c r="G54" s="38"/>
      <c r="H54" s="292" t="s">
        <v>857</v>
      </c>
      <c r="I54" s="63" t="s">
        <v>853</v>
      </c>
      <c r="J54" s="287"/>
    </row>
    <row r="55">
      <c r="A55" s="51"/>
      <c r="B55" s="52"/>
      <c r="C55" s="52"/>
      <c r="D55" s="52" t="s">
        <v>101</v>
      </c>
      <c r="E55" s="54">
        <f t="shared" ref="E55:F55" si="4">sum(E48:E54)</f>
        <v>7</v>
      </c>
      <c r="F55" s="54">
        <f t="shared" si="4"/>
        <v>526</v>
      </c>
      <c r="G55" s="70">
        <v>243.0</v>
      </c>
      <c r="H55" s="54"/>
      <c r="I55" s="54"/>
      <c r="J55" s="56"/>
    </row>
    <row r="56" ht="7.5" customHeight="1">
      <c r="A56" s="23"/>
      <c r="B56" s="23"/>
      <c r="C56" s="23"/>
      <c r="D56" s="23"/>
      <c r="E56" s="25"/>
      <c r="F56" s="23"/>
      <c r="G56" s="23"/>
      <c r="H56" s="23"/>
      <c r="I56" s="25"/>
      <c r="J56" s="23"/>
    </row>
    <row r="57" ht="18.75" customHeight="1">
      <c r="A57" s="26" t="s">
        <v>862</v>
      </c>
      <c r="J57" s="26"/>
    </row>
    <row r="58" ht="18.75" customHeight="1">
      <c r="A58" s="293" t="s">
        <v>863</v>
      </c>
      <c r="J58" s="27"/>
    </row>
    <row r="59">
      <c r="A59" s="28" t="s">
        <v>41</v>
      </c>
      <c r="B59" s="28" t="s">
        <v>42</v>
      </c>
      <c r="C59" s="29" t="s">
        <v>43</v>
      </c>
      <c r="D59" s="28" t="s">
        <v>46</v>
      </c>
      <c r="E59" s="29" t="s">
        <v>47</v>
      </c>
      <c r="F59" s="29" t="s">
        <v>48</v>
      </c>
      <c r="G59" s="29" t="s">
        <v>49</v>
      </c>
      <c r="H59" s="29" t="s">
        <v>50</v>
      </c>
      <c r="I59" s="29" t="s">
        <v>51</v>
      </c>
      <c r="J59" s="29" t="s">
        <v>864</v>
      </c>
    </row>
    <row r="60">
      <c r="A60" s="33" t="s">
        <v>601</v>
      </c>
      <c r="B60" s="175">
        <v>3580820.0</v>
      </c>
      <c r="C60" s="27" t="b">
        <v>1</v>
      </c>
      <c r="D60" s="27" t="s">
        <v>71</v>
      </c>
      <c r="E60" s="37">
        <v>1.0</v>
      </c>
      <c r="F60" s="37">
        <v>90.0</v>
      </c>
      <c r="G60" s="38"/>
      <c r="H60" s="37" t="s">
        <v>855</v>
      </c>
      <c r="I60" s="37" t="s">
        <v>848</v>
      </c>
      <c r="J60" s="45" t="s">
        <v>867</v>
      </c>
    </row>
    <row r="61">
      <c r="A61" s="33" t="s">
        <v>868</v>
      </c>
      <c r="B61" s="175">
        <v>3580830.0</v>
      </c>
      <c r="C61" s="27" t="b">
        <v>1</v>
      </c>
      <c r="D61" s="27" t="s">
        <v>82</v>
      </c>
      <c r="E61" s="37">
        <v>1.0</v>
      </c>
      <c r="F61" s="37">
        <v>30.0</v>
      </c>
      <c r="G61" s="38"/>
      <c r="H61" s="66" t="s">
        <v>855</v>
      </c>
      <c r="I61" s="37" t="s">
        <v>848</v>
      </c>
      <c r="J61" s="45" t="s">
        <v>867</v>
      </c>
    </row>
    <row r="62">
      <c r="A62" s="186" t="s">
        <v>591</v>
      </c>
      <c r="B62" s="27">
        <v>1.27013E7</v>
      </c>
      <c r="C62" s="27" t="b">
        <v>1</v>
      </c>
      <c r="D62" s="27" t="s">
        <v>96</v>
      </c>
      <c r="E62" s="37">
        <v>2.0</v>
      </c>
      <c r="F62" s="37">
        <v>0.0</v>
      </c>
      <c r="G62" s="180"/>
      <c r="H62" s="180" t="s">
        <v>777</v>
      </c>
      <c r="I62" s="40" t="s">
        <v>778</v>
      </c>
      <c r="J62" s="41"/>
    </row>
    <row r="63">
      <c r="A63" s="51"/>
      <c r="B63" s="52"/>
      <c r="C63" s="52"/>
      <c r="D63" s="52" t="s">
        <v>101</v>
      </c>
      <c r="E63" s="54">
        <f t="shared" ref="E63:F63" si="5">sum(E60:E62)</f>
        <v>4</v>
      </c>
      <c r="F63" s="54">
        <f t="shared" si="5"/>
        <v>120</v>
      </c>
      <c r="G63" s="54"/>
      <c r="H63" s="54"/>
      <c r="I63" s="54"/>
      <c r="J63" s="56"/>
    </row>
  </sheetData>
  <mergeCells count="19">
    <mergeCell ref="A1:I1"/>
    <mergeCell ref="B2:I2"/>
    <mergeCell ref="J2:J3"/>
    <mergeCell ref="B3:I3"/>
    <mergeCell ref="B4:I4"/>
    <mergeCell ref="B5:I5"/>
    <mergeCell ref="J5:J6"/>
    <mergeCell ref="A35:I35"/>
    <mergeCell ref="A45:I45"/>
    <mergeCell ref="A46:I46"/>
    <mergeCell ref="A57:I57"/>
    <mergeCell ref="A58:I58"/>
    <mergeCell ref="B6:I6"/>
    <mergeCell ref="B7:I7"/>
    <mergeCell ref="A9:I9"/>
    <mergeCell ref="A10:I10"/>
    <mergeCell ref="A19:I19"/>
    <mergeCell ref="A20:I20"/>
    <mergeCell ref="A34:I34"/>
  </mergeCells>
  <dataValidations>
    <dataValidation type="list" allowBlank="1" sqref="D12:D16 D22:D31 D37:D42 D48:D54 D60:D62">
      <formula1>'Data Validation'!$A$2:$A$5</formula1>
    </dataValidation>
    <dataValidation type="list" allowBlank="1" sqref="E12:E16 E22:E31 E37:E42 E48:E54 E60:E62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paperSize="5" cellComments="atEnd" orientation="landscape" pageOrder="overThenDown"/>
  <rowBreaks count="2" manualBreakCount="2">
    <brk id="30" man="1"/>
    <brk id="63" man="1"/>
  </rowBreaks>
  <colBreaks count="2" manualBreakCount="2">
    <brk man="1"/>
    <brk id="10" man="1"/>
  </colBrea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57.38"/>
  </cols>
  <sheetData>
    <row r="1" ht="66.75" customHeight="1">
      <c r="A1" s="1" t="s">
        <v>0</v>
      </c>
      <c r="J1" s="2" t="s">
        <v>1</v>
      </c>
    </row>
    <row r="2">
      <c r="A2" s="3" t="s">
        <v>2</v>
      </c>
      <c r="B2" s="5" t="s">
        <v>187</v>
      </c>
      <c r="J2" s="13" t="s">
        <v>6</v>
      </c>
    </row>
    <row r="3">
      <c r="A3" s="3" t="s">
        <v>14</v>
      </c>
      <c r="B3" s="5" t="s">
        <v>779</v>
      </c>
    </row>
    <row r="4">
      <c r="A4" s="3" t="s">
        <v>17</v>
      </c>
      <c r="B4" s="281" t="s">
        <v>780</v>
      </c>
      <c r="J4" s="18" t="s">
        <v>20</v>
      </c>
    </row>
    <row r="5">
      <c r="A5" s="3" t="s">
        <v>26</v>
      </c>
      <c r="B5" s="19">
        <v>3.0</v>
      </c>
      <c r="J5" s="24" t="s">
        <v>30</v>
      </c>
    </row>
    <row r="6">
      <c r="A6" s="3" t="s">
        <v>34</v>
      </c>
      <c r="B6" s="19">
        <v>17.0</v>
      </c>
    </row>
    <row r="7">
      <c r="A7" s="3" t="s">
        <v>36</v>
      </c>
      <c r="B7" s="19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30" t="s">
        <v>791</v>
      </c>
      <c r="J9" s="26"/>
    </row>
    <row r="10" ht="18.75" customHeight="1">
      <c r="A10" s="27" t="s">
        <v>792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793</v>
      </c>
    </row>
    <row r="12">
      <c r="A12" s="178" t="s">
        <v>794</v>
      </c>
      <c r="B12" s="27">
        <v>1.30082E7</v>
      </c>
      <c r="C12" s="34" t="b">
        <v>0</v>
      </c>
      <c r="D12" s="27" t="s">
        <v>58</v>
      </c>
      <c r="E12" s="37">
        <v>1.0</v>
      </c>
      <c r="F12" s="37">
        <v>125.0</v>
      </c>
      <c r="G12" s="38"/>
      <c r="H12" s="282" t="s">
        <v>796</v>
      </c>
      <c r="I12" s="283" t="s">
        <v>797</v>
      </c>
      <c r="J12" s="41"/>
    </row>
    <row r="13">
      <c r="A13" s="178" t="s">
        <v>798</v>
      </c>
      <c r="B13" s="27"/>
      <c r="C13" s="34" t="b">
        <v>0</v>
      </c>
      <c r="D13" s="27"/>
      <c r="E13" s="37"/>
      <c r="F13" s="37"/>
      <c r="G13" s="38"/>
      <c r="H13" s="282" t="s">
        <v>796</v>
      </c>
      <c r="I13" s="283"/>
      <c r="J13" s="41"/>
    </row>
    <row r="14">
      <c r="A14" s="51"/>
      <c r="B14" s="52"/>
      <c r="C14" s="52"/>
      <c r="D14" s="52" t="s">
        <v>101</v>
      </c>
      <c r="E14" s="54">
        <f t="shared" ref="E14:F14" si="1">sum(E12)</f>
        <v>1</v>
      </c>
      <c r="F14" s="54">
        <f t="shared" si="1"/>
        <v>125</v>
      </c>
      <c r="G14" s="54"/>
      <c r="H14" s="54"/>
      <c r="I14" s="54"/>
      <c r="J14" s="56"/>
    </row>
    <row r="15" ht="7.5" customHeight="1">
      <c r="A15" s="23"/>
      <c r="B15" s="23"/>
      <c r="C15" s="23"/>
      <c r="D15" s="23"/>
      <c r="E15" s="25"/>
      <c r="F15" s="23"/>
      <c r="G15" s="23"/>
      <c r="H15" s="23"/>
      <c r="I15" s="25"/>
      <c r="J15" s="23"/>
    </row>
    <row r="16" ht="18.75" customHeight="1">
      <c r="A16" s="30" t="s">
        <v>801</v>
      </c>
      <c r="J16" s="26"/>
    </row>
    <row r="17" ht="18.75" customHeight="1">
      <c r="A17" s="27" t="s">
        <v>40</v>
      </c>
      <c r="J17" s="27"/>
    </row>
    <row r="18">
      <c r="A18" s="28" t="s">
        <v>41</v>
      </c>
      <c r="B18" s="28" t="s">
        <v>42</v>
      </c>
      <c r="C18" s="29" t="s">
        <v>43</v>
      </c>
      <c r="D18" s="28" t="s">
        <v>46</v>
      </c>
      <c r="E18" s="29" t="s">
        <v>47</v>
      </c>
      <c r="F18" s="29" t="s">
        <v>48</v>
      </c>
      <c r="G18" s="29" t="s">
        <v>49</v>
      </c>
      <c r="H18" s="29" t="s">
        <v>50</v>
      </c>
      <c r="I18" s="29" t="s">
        <v>51</v>
      </c>
      <c r="J18" s="29" t="s">
        <v>803</v>
      </c>
    </row>
    <row r="19">
      <c r="A19" s="33" t="s">
        <v>53</v>
      </c>
      <c r="B19" s="27">
        <v>1.30112E7</v>
      </c>
      <c r="C19" s="34" t="b">
        <v>0</v>
      </c>
      <c r="D19" s="27" t="s">
        <v>58</v>
      </c>
      <c r="E19" s="37">
        <v>1.0</v>
      </c>
      <c r="F19" s="37">
        <v>175.0</v>
      </c>
      <c r="G19" s="38"/>
      <c r="H19" s="85" t="s">
        <v>804</v>
      </c>
      <c r="I19" s="85" t="s">
        <v>806</v>
      </c>
      <c r="J19" s="41"/>
    </row>
    <row r="20">
      <c r="A20" s="33" t="s">
        <v>67</v>
      </c>
      <c r="B20" s="27" t="s">
        <v>70</v>
      </c>
      <c r="C20" s="34" t="b">
        <v>0</v>
      </c>
      <c r="D20" s="27" t="s">
        <v>71</v>
      </c>
      <c r="E20" s="37">
        <v>1.0</v>
      </c>
      <c r="F20" s="37">
        <v>200.0</v>
      </c>
      <c r="G20" s="38"/>
      <c r="H20" s="85" t="s">
        <v>809</v>
      </c>
      <c r="I20" s="85" t="s">
        <v>430</v>
      </c>
      <c r="J20" s="45" t="s">
        <v>75</v>
      </c>
    </row>
    <row r="21">
      <c r="A21" s="33" t="s">
        <v>67</v>
      </c>
      <c r="B21" s="27" t="s">
        <v>70</v>
      </c>
      <c r="C21" s="34" t="b">
        <v>0</v>
      </c>
      <c r="D21" s="27" t="s">
        <v>71</v>
      </c>
      <c r="E21" s="37">
        <v>1.0</v>
      </c>
      <c r="F21" s="37">
        <v>200.0</v>
      </c>
      <c r="G21" s="38"/>
      <c r="H21" s="85" t="s">
        <v>812</v>
      </c>
      <c r="I21" s="85" t="s">
        <v>430</v>
      </c>
      <c r="J21" s="45" t="s">
        <v>75</v>
      </c>
    </row>
    <row r="22">
      <c r="A22" s="33" t="s">
        <v>83</v>
      </c>
      <c r="B22" s="285" t="s">
        <v>84</v>
      </c>
      <c r="C22" s="34" t="b">
        <v>0</v>
      </c>
      <c r="D22" s="27" t="s">
        <v>82</v>
      </c>
      <c r="E22" s="37">
        <v>1.0</v>
      </c>
      <c r="F22" s="37">
        <v>105.0</v>
      </c>
      <c r="G22" s="38"/>
      <c r="H22" s="132" t="s">
        <v>812</v>
      </c>
      <c r="I22" s="85" t="s">
        <v>430</v>
      </c>
      <c r="J22" s="45" t="s">
        <v>815</v>
      </c>
    </row>
    <row r="23">
      <c r="A23" s="132" t="s">
        <v>104</v>
      </c>
      <c r="B23" s="27">
        <v>1.30346E7</v>
      </c>
      <c r="C23" s="34" t="b">
        <v>0</v>
      </c>
      <c r="D23" s="27" t="s">
        <v>71</v>
      </c>
      <c r="E23" s="37">
        <v>0.5</v>
      </c>
      <c r="F23" s="37">
        <v>80.0</v>
      </c>
      <c r="G23" s="38"/>
      <c r="H23" s="85" t="s">
        <v>818</v>
      </c>
      <c r="I23" s="85" t="s">
        <v>88</v>
      </c>
      <c r="J23" s="41"/>
    </row>
    <row r="24">
      <c r="A24" s="132" t="s">
        <v>290</v>
      </c>
      <c r="B24" s="286">
        <v>1.3012E7</v>
      </c>
      <c r="C24" s="34" t="b">
        <v>0</v>
      </c>
      <c r="D24" s="27" t="s">
        <v>71</v>
      </c>
      <c r="E24" s="37">
        <v>0.5</v>
      </c>
      <c r="F24" s="37">
        <v>60.0</v>
      </c>
      <c r="G24" s="38"/>
      <c r="H24" s="85" t="s">
        <v>818</v>
      </c>
      <c r="I24" s="85" t="s">
        <v>88</v>
      </c>
      <c r="J24" s="45"/>
    </row>
    <row r="25">
      <c r="A25" s="33" t="s">
        <v>97</v>
      </c>
      <c r="B25" s="27">
        <v>1.303465E7</v>
      </c>
      <c r="C25" s="34" t="b">
        <v>0</v>
      </c>
      <c r="D25" s="27" t="s">
        <v>82</v>
      </c>
      <c r="E25" s="37">
        <v>0.5</v>
      </c>
      <c r="F25" s="37">
        <v>90.0</v>
      </c>
      <c r="G25" s="38"/>
      <c r="H25" s="85" t="s">
        <v>818</v>
      </c>
      <c r="I25" s="85" t="s">
        <v>88</v>
      </c>
      <c r="J25" s="45" t="s">
        <v>412</v>
      </c>
    </row>
    <row r="26">
      <c r="A26" s="33" t="s">
        <v>102</v>
      </c>
      <c r="B26" s="285">
        <v>1.30343E7</v>
      </c>
      <c r="C26" s="34" t="b">
        <v>0</v>
      </c>
      <c r="D26" s="27" t="s">
        <v>71</v>
      </c>
      <c r="E26" s="37">
        <v>0.5</v>
      </c>
      <c r="F26" s="37">
        <v>100.0</v>
      </c>
      <c r="G26" s="38"/>
      <c r="H26" s="85" t="s">
        <v>818</v>
      </c>
      <c r="I26" s="85" t="s">
        <v>88</v>
      </c>
      <c r="J26" s="41"/>
    </row>
    <row r="27">
      <c r="A27" s="33" t="s">
        <v>824</v>
      </c>
      <c r="B27" s="27">
        <v>1.27013E7</v>
      </c>
      <c r="C27" s="34" t="b">
        <v>0</v>
      </c>
      <c r="D27" s="27" t="s">
        <v>96</v>
      </c>
      <c r="E27" s="37">
        <v>2.0</v>
      </c>
      <c r="F27" s="37">
        <v>25.0</v>
      </c>
      <c r="G27" s="38"/>
      <c r="H27" s="85" t="s">
        <v>809</v>
      </c>
      <c r="I27" s="85" t="s">
        <v>430</v>
      </c>
      <c r="J27" s="41"/>
    </row>
    <row r="28">
      <c r="A28" s="51"/>
      <c r="B28" s="52"/>
      <c r="C28" s="52"/>
      <c r="D28" s="52" t="s">
        <v>101</v>
      </c>
      <c r="E28" s="54">
        <f t="shared" ref="E28:F28" si="2">sum(E19:E27)</f>
        <v>8</v>
      </c>
      <c r="F28" s="54">
        <f t="shared" si="2"/>
        <v>1035</v>
      </c>
      <c r="G28" s="54"/>
      <c r="H28" s="54"/>
      <c r="I28" s="54"/>
      <c r="J28" s="56"/>
    </row>
    <row r="29" ht="7.5" customHeight="1">
      <c r="A29" s="23"/>
      <c r="B29" s="23"/>
      <c r="C29" s="23"/>
      <c r="D29" s="23"/>
      <c r="E29" s="25"/>
      <c r="F29" s="23"/>
      <c r="G29" s="23"/>
      <c r="H29" s="23"/>
      <c r="I29" s="25"/>
      <c r="J29" s="23"/>
    </row>
    <row r="30" ht="18.75" customHeight="1">
      <c r="A30" s="30" t="s">
        <v>828</v>
      </c>
      <c r="J30" s="26"/>
    </row>
    <row r="31" ht="18.75" customHeight="1">
      <c r="A31" s="33" t="s">
        <v>438</v>
      </c>
      <c r="J31" s="27"/>
    </row>
    <row r="32">
      <c r="A32" s="28" t="s">
        <v>41</v>
      </c>
      <c r="B32" s="28" t="s">
        <v>42</v>
      </c>
      <c r="C32" s="29" t="s">
        <v>43</v>
      </c>
      <c r="D32" s="28" t="s">
        <v>46</v>
      </c>
      <c r="E32" s="29" t="s">
        <v>47</v>
      </c>
      <c r="F32" s="29" t="s">
        <v>48</v>
      </c>
      <c r="G32" s="29" t="s">
        <v>49</v>
      </c>
      <c r="H32" s="29" t="s">
        <v>50</v>
      </c>
      <c r="I32" s="29" t="s">
        <v>51</v>
      </c>
      <c r="J32" s="29" t="s">
        <v>833</v>
      </c>
    </row>
    <row r="33">
      <c r="A33" s="69" t="s">
        <v>145</v>
      </c>
      <c r="B33" s="27" t="s">
        <v>147</v>
      </c>
      <c r="C33" s="34" t="b">
        <v>0</v>
      </c>
      <c r="D33" s="27" t="s">
        <v>58</v>
      </c>
      <c r="E33" s="37">
        <v>1.0</v>
      </c>
      <c r="F33" s="37">
        <v>90.0</v>
      </c>
      <c r="G33" s="38"/>
      <c r="H33" s="63" t="s">
        <v>834</v>
      </c>
      <c r="I33" s="63" t="s">
        <v>152</v>
      </c>
      <c r="J33" s="287" t="s">
        <v>153</v>
      </c>
    </row>
    <row r="34">
      <c r="A34" s="69" t="s">
        <v>835</v>
      </c>
      <c r="B34" s="27">
        <v>1.30375E7</v>
      </c>
      <c r="C34" s="27" t="b">
        <v>1</v>
      </c>
      <c r="D34" s="27" t="s">
        <v>71</v>
      </c>
      <c r="E34" s="37">
        <v>1.0</v>
      </c>
      <c r="F34" s="37">
        <v>60.0</v>
      </c>
      <c r="G34" s="38"/>
      <c r="H34" s="63" t="s">
        <v>834</v>
      </c>
      <c r="I34" s="63" t="s">
        <v>152</v>
      </c>
      <c r="J34" s="41"/>
    </row>
    <row r="35">
      <c r="A35" s="69" t="s">
        <v>835</v>
      </c>
      <c r="B35" s="27">
        <v>1.30375E7</v>
      </c>
      <c r="C35" s="27" t="b">
        <v>1</v>
      </c>
      <c r="D35" s="27" t="s">
        <v>71</v>
      </c>
      <c r="E35" s="37">
        <v>1.0</v>
      </c>
      <c r="F35" s="37">
        <v>60.0</v>
      </c>
      <c r="G35" s="37"/>
      <c r="H35" s="63" t="s">
        <v>838</v>
      </c>
      <c r="I35" s="63" t="s">
        <v>88</v>
      </c>
      <c r="J35" s="41"/>
    </row>
    <row r="36">
      <c r="A36" s="288" t="s">
        <v>839</v>
      </c>
      <c r="B36" s="79" t="s">
        <v>464</v>
      </c>
      <c r="C36" s="135" t="b">
        <v>0</v>
      </c>
      <c r="D36" s="79" t="s">
        <v>82</v>
      </c>
      <c r="E36" s="137">
        <v>1.0</v>
      </c>
      <c r="F36" s="137">
        <v>60.0</v>
      </c>
      <c r="G36" s="137"/>
      <c r="H36" s="289" t="s">
        <v>838</v>
      </c>
      <c r="I36" s="289" t="s">
        <v>88</v>
      </c>
      <c r="J36" s="290" t="s">
        <v>843</v>
      </c>
    </row>
    <row r="37">
      <c r="A37" s="69" t="s">
        <v>844</v>
      </c>
      <c r="B37" s="27" t="s">
        <v>175</v>
      </c>
      <c r="C37" s="34" t="b">
        <v>0</v>
      </c>
      <c r="D37" s="27" t="s">
        <v>82</v>
      </c>
      <c r="E37" s="37">
        <v>1.0</v>
      </c>
      <c r="F37" s="37">
        <v>25.0</v>
      </c>
      <c r="G37" s="37"/>
      <c r="H37" s="63" t="s">
        <v>834</v>
      </c>
      <c r="I37" s="63" t="s">
        <v>152</v>
      </c>
      <c r="J37" s="287" t="s">
        <v>165</v>
      </c>
    </row>
    <row r="38">
      <c r="A38" s="69" t="s">
        <v>846</v>
      </c>
      <c r="B38" s="27" t="s">
        <v>162</v>
      </c>
      <c r="C38" s="34" t="b">
        <v>0</v>
      </c>
      <c r="D38" s="27" t="s">
        <v>82</v>
      </c>
      <c r="E38" s="37">
        <v>1.0</v>
      </c>
      <c r="F38" s="37"/>
      <c r="G38" s="37"/>
      <c r="H38" s="63" t="s">
        <v>834</v>
      </c>
      <c r="I38" s="63" t="s">
        <v>152</v>
      </c>
      <c r="J38" s="287" t="s">
        <v>165</v>
      </c>
    </row>
    <row r="39">
      <c r="A39" s="51"/>
      <c r="B39" s="52"/>
      <c r="C39" s="52"/>
      <c r="D39" s="52" t="s">
        <v>101</v>
      </c>
      <c r="E39" s="54">
        <f>sum(E33:E38)</f>
        <v>6</v>
      </c>
      <c r="F39" s="54">
        <f>sum(F33:F37)</f>
        <v>295</v>
      </c>
      <c r="G39" s="54"/>
      <c r="H39" s="54"/>
      <c r="I39" s="54"/>
      <c r="J39" s="56"/>
    </row>
    <row r="40" ht="7.5" customHeight="1">
      <c r="A40" s="23"/>
      <c r="B40" s="23"/>
      <c r="C40" s="23"/>
      <c r="D40" s="23"/>
      <c r="E40" s="25"/>
      <c r="F40" s="23"/>
      <c r="G40" s="23"/>
      <c r="H40" s="23"/>
      <c r="I40" s="25"/>
      <c r="J40" s="23"/>
    </row>
  </sheetData>
  <mergeCells count="15">
    <mergeCell ref="B6:I6"/>
    <mergeCell ref="B7:I7"/>
    <mergeCell ref="A9:I9"/>
    <mergeCell ref="A10:I10"/>
    <mergeCell ref="A16:I16"/>
    <mergeCell ref="A17:I17"/>
    <mergeCell ref="A30:I30"/>
    <mergeCell ref="A31:I31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3 D19:D27 D33:D38">
      <formula1>'Data Validation'!$A$2:$A$5</formula1>
    </dataValidation>
    <dataValidation type="list" allowBlank="1" sqref="E12:E13 E19:E27 E33:E38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4.25"/>
  </cols>
  <sheetData>
    <row r="1" ht="66.75" customHeight="1">
      <c r="A1" s="1" t="s">
        <v>830</v>
      </c>
      <c r="J1" s="2" t="s">
        <v>1</v>
      </c>
    </row>
    <row r="2">
      <c r="A2" s="3" t="s">
        <v>2</v>
      </c>
      <c r="B2" s="5" t="s">
        <v>193</v>
      </c>
      <c r="J2" s="13" t="s">
        <v>6</v>
      </c>
    </row>
    <row r="3">
      <c r="A3" s="3" t="s">
        <v>14</v>
      </c>
      <c r="B3" s="5" t="s">
        <v>836</v>
      </c>
    </row>
    <row r="4">
      <c r="A4" s="3" t="s">
        <v>17</v>
      </c>
      <c r="B4" s="5" t="s">
        <v>837</v>
      </c>
      <c r="J4" s="18" t="s">
        <v>20</v>
      </c>
    </row>
    <row r="5">
      <c r="A5" s="3" t="s">
        <v>26</v>
      </c>
      <c r="B5" s="5" t="s">
        <v>842</v>
      </c>
      <c r="J5" s="24" t="s">
        <v>30</v>
      </c>
    </row>
    <row r="6">
      <c r="A6" s="3" t="s">
        <v>34</v>
      </c>
      <c r="B6" s="5" t="s">
        <v>850</v>
      </c>
    </row>
    <row r="7">
      <c r="A7" s="3" t="s">
        <v>36</v>
      </c>
      <c r="B7" s="5" t="s">
        <v>851</v>
      </c>
      <c r="J7" s="22"/>
    </row>
    <row r="8" ht="18.75" customHeight="1">
      <c r="A8" s="30" t="s">
        <v>38</v>
      </c>
      <c r="J8" s="26"/>
    </row>
    <row r="9" ht="18.75" customHeight="1">
      <c r="A9" s="27" t="s">
        <v>540</v>
      </c>
      <c r="J9" s="27"/>
    </row>
    <row r="10">
      <c r="A10" s="28" t="s">
        <v>41</v>
      </c>
      <c r="B10" s="28" t="s">
        <v>42</v>
      </c>
      <c r="C10" s="29" t="s">
        <v>43</v>
      </c>
      <c r="D10" s="28" t="s">
        <v>46</v>
      </c>
      <c r="E10" s="29" t="s">
        <v>47</v>
      </c>
      <c r="F10" s="29" t="s">
        <v>48</v>
      </c>
      <c r="G10" s="29" t="s">
        <v>49</v>
      </c>
      <c r="H10" s="29" t="s">
        <v>50</v>
      </c>
      <c r="I10" s="29" t="s">
        <v>51</v>
      </c>
      <c r="J10" s="29" t="s">
        <v>856</v>
      </c>
    </row>
    <row r="11">
      <c r="A11" s="33" t="s">
        <v>532</v>
      </c>
      <c r="B11" s="27">
        <v>1.30112E7</v>
      </c>
      <c r="C11" s="27" t="b">
        <v>1</v>
      </c>
      <c r="D11" s="27" t="s">
        <v>58</v>
      </c>
      <c r="E11" s="37">
        <v>1.0</v>
      </c>
      <c r="F11" s="37">
        <v>90.0</v>
      </c>
      <c r="G11" s="38"/>
      <c r="H11" s="85" t="s">
        <v>858</v>
      </c>
      <c r="I11" s="85" t="s">
        <v>88</v>
      </c>
      <c r="J11" s="41"/>
    </row>
    <row r="12">
      <c r="A12" s="33" t="s">
        <v>539</v>
      </c>
      <c r="B12" s="27">
        <v>1.30166E7</v>
      </c>
      <c r="C12" s="27" t="b">
        <v>1</v>
      </c>
      <c r="D12" s="27" t="s">
        <v>71</v>
      </c>
      <c r="E12" s="37">
        <v>1.0</v>
      </c>
      <c r="F12" s="37">
        <v>60.0</v>
      </c>
      <c r="G12" s="38"/>
      <c r="H12" s="85" t="s">
        <v>859</v>
      </c>
      <c r="I12" s="85" t="s">
        <v>88</v>
      </c>
      <c r="J12" s="45" t="s">
        <v>125</v>
      </c>
    </row>
    <row r="13">
      <c r="A13" s="33" t="s">
        <v>127</v>
      </c>
      <c r="B13" s="27">
        <v>1.30168E7</v>
      </c>
      <c r="C13" s="27" t="b">
        <v>1</v>
      </c>
      <c r="D13" s="27" t="s">
        <v>82</v>
      </c>
      <c r="E13" s="37">
        <v>1.0</v>
      </c>
      <c r="F13" s="37">
        <v>60.0</v>
      </c>
      <c r="G13" s="38"/>
      <c r="H13" s="85" t="s">
        <v>859</v>
      </c>
      <c r="I13" s="85" t="s">
        <v>88</v>
      </c>
      <c r="J13" s="45"/>
    </row>
    <row r="14">
      <c r="A14" s="186" t="s">
        <v>861</v>
      </c>
      <c r="B14" s="27">
        <v>1.30122E7</v>
      </c>
      <c r="C14" s="27" t="b">
        <v>1</v>
      </c>
      <c r="D14" s="27" t="s">
        <v>96</v>
      </c>
      <c r="E14" s="37">
        <v>2.0</v>
      </c>
      <c r="F14" s="37">
        <v>50.0</v>
      </c>
      <c r="G14" s="180"/>
      <c r="H14" s="115" t="s">
        <v>859</v>
      </c>
      <c r="I14" s="85" t="s">
        <v>88</v>
      </c>
      <c r="J14" s="41"/>
    </row>
    <row r="15">
      <c r="A15" s="51"/>
      <c r="B15" s="52"/>
      <c r="C15" s="52"/>
      <c r="D15" s="52" t="s">
        <v>101</v>
      </c>
      <c r="E15" s="54">
        <f t="shared" ref="E15:F15" si="1">sum(E11:E14)</f>
        <v>5</v>
      </c>
      <c r="F15" s="54">
        <f t="shared" si="1"/>
        <v>260</v>
      </c>
      <c r="G15" s="70"/>
      <c r="H15" s="54"/>
      <c r="I15" s="54"/>
      <c r="J15" s="56"/>
    </row>
    <row r="16" ht="18.75" customHeight="1">
      <c r="A16" s="294" t="s">
        <v>135</v>
      </c>
    </row>
    <row r="17" ht="18.75" customHeight="1">
      <c r="A17" s="27" t="s">
        <v>308</v>
      </c>
      <c r="J17" s="27"/>
    </row>
    <row r="18">
      <c r="A18" s="28" t="s">
        <v>41</v>
      </c>
      <c r="B18" s="28" t="s">
        <v>42</v>
      </c>
      <c r="C18" s="29" t="s">
        <v>43</v>
      </c>
      <c r="D18" s="28" t="s">
        <v>46</v>
      </c>
      <c r="E18" s="29" t="s">
        <v>47</v>
      </c>
      <c r="F18" s="29" t="s">
        <v>48</v>
      </c>
      <c r="G18" s="29" t="s">
        <v>49</v>
      </c>
      <c r="H18" s="29" t="s">
        <v>50</v>
      </c>
      <c r="I18" s="29" t="s">
        <v>51</v>
      </c>
      <c r="J18" s="29" t="s">
        <v>869</v>
      </c>
    </row>
    <row r="19">
      <c r="A19" s="33" t="s">
        <v>532</v>
      </c>
      <c r="B19" s="33">
        <v>1.30112E7</v>
      </c>
      <c r="C19" s="33" t="b">
        <v>1</v>
      </c>
      <c r="D19" s="33" t="s">
        <v>58</v>
      </c>
      <c r="E19" s="85">
        <v>1.0</v>
      </c>
      <c r="F19" s="85">
        <v>90.0</v>
      </c>
      <c r="G19" s="86"/>
      <c r="H19" s="85" t="s">
        <v>858</v>
      </c>
      <c r="I19" s="85" t="s">
        <v>88</v>
      </c>
      <c r="J19" s="88"/>
    </row>
    <row r="20">
      <c r="A20" s="33" t="s">
        <v>279</v>
      </c>
      <c r="B20" s="33">
        <v>1311400.0</v>
      </c>
      <c r="C20" s="33" t="b">
        <v>1</v>
      </c>
      <c r="D20" s="33" t="s">
        <v>58</v>
      </c>
      <c r="E20" s="85">
        <v>1.0</v>
      </c>
      <c r="F20" s="85">
        <v>90.0</v>
      </c>
      <c r="G20" s="86"/>
      <c r="H20" s="85" t="s">
        <v>858</v>
      </c>
      <c r="I20" s="85" t="s">
        <v>88</v>
      </c>
      <c r="J20" s="33" t="s">
        <v>871</v>
      </c>
    </row>
    <row r="21">
      <c r="A21" s="186" t="s">
        <v>861</v>
      </c>
      <c r="B21" s="33">
        <v>1.30122E7</v>
      </c>
      <c r="C21" s="33" t="b">
        <v>1</v>
      </c>
      <c r="D21" s="33" t="s">
        <v>96</v>
      </c>
      <c r="E21" s="85">
        <v>2.0</v>
      </c>
      <c r="F21" s="85">
        <v>50.0</v>
      </c>
      <c r="G21" s="115"/>
      <c r="H21" s="115" t="s">
        <v>859</v>
      </c>
      <c r="I21" s="85" t="s">
        <v>88</v>
      </c>
      <c r="J21" s="88"/>
    </row>
    <row r="22">
      <c r="A22" s="51"/>
      <c r="B22" s="52"/>
      <c r="C22" s="52"/>
      <c r="D22" s="52" t="s">
        <v>101</v>
      </c>
      <c r="E22" s="54">
        <f t="shared" ref="E22:F22" si="2">sum(E19:E20)</f>
        <v>2</v>
      </c>
      <c r="F22" s="54">
        <f t="shared" si="2"/>
        <v>180</v>
      </c>
      <c r="G22" s="54"/>
      <c r="H22" s="54"/>
      <c r="I22" s="54"/>
      <c r="J22" s="56"/>
    </row>
    <row r="23" ht="18.75" customHeight="1">
      <c r="A23" s="30" t="s">
        <v>111</v>
      </c>
      <c r="J23" s="26"/>
    </row>
    <row r="24" ht="18.75" customHeight="1">
      <c r="A24" s="27" t="s">
        <v>876</v>
      </c>
      <c r="J24" s="27"/>
    </row>
    <row r="25">
      <c r="A25" s="28" t="s">
        <v>41</v>
      </c>
      <c r="B25" s="28" t="s">
        <v>42</v>
      </c>
      <c r="C25" s="29" t="s">
        <v>43</v>
      </c>
      <c r="D25" s="28" t="s">
        <v>46</v>
      </c>
      <c r="E25" s="29" t="s">
        <v>47</v>
      </c>
      <c r="F25" s="29" t="s">
        <v>48</v>
      </c>
      <c r="G25" s="29" t="s">
        <v>49</v>
      </c>
      <c r="H25" s="29" t="s">
        <v>50</v>
      </c>
      <c r="I25" s="29" t="s">
        <v>51</v>
      </c>
      <c r="J25" s="29" t="s">
        <v>878</v>
      </c>
    </row>
    <row r="26">
      <c r="A26" s="33" t="s">
        <v>880</v>
      </c>
      <c r="B26" s="33">
        <v>1329600.0</v>
      </c>
      <c r="C26" s="33" t="b">
        <v>1</v>
      </c>
      <c r="D26" s="33" t="s">
        <v>71</v>
      </c>
      <c r="E26" s="85">
        <v>1.0</v>
      </c>
      <c r="F26" s="85">
        <v>90.0</v>
      </c>
      <c r="G26" s="86"/>
      <c r="H26" s="223" t="s">
        <v>885</v>
      </c>
      <c r="I26" s="85" t="s">
        <v>887</v>
      </c>
      <c r="J26" s="88"/>
    </row>
    <row r="27">
      <c r="A27" s="33" t="s">
        <v>231</v>
      </c>
      <c r="B27" s="33"/>
      <c r="C27" s="33" t="b">
        <v>0</v>
      </c>
      <c r="D27" s="33" t="s">
        <v>71</v>
      </c>
      <c r="E27" s="85">
        <v>1.0</v>
      </c>
      <c r="F27" s="85"/>
      <c r="G27" s="86"/>
      <c r="H27" s="223" t="s">
        <v>888</v>
      </c>
      <c r="I27" s="85" t="s">
        <v>887</v>
      </c>
      <c r="J27" s="88"/>
    </row>
    <row r="28">
      <c r="A28" s="33" t="s">
        <v>239</v>
      </c>
      <c r="B28" s="33"/>
      <c r="C28" s="33" t="b">
        <v>0</v>
      </c>
      <c r="D28" s="33"/>
      <c r="E28" s="85"/>
      <c r="F28" s="85"/>
      <c r="G28" s="86"/>
      <c r="H28" s="223" t="s">
        <v>890</v>
      </c>
      <c r="I28" s="85" t="s">
        <v>887</v>
      </c>
      <c r="J28" s="33" t="s">
        <v>892</v>
      </c>
    </row>
    <row r="29">
      <c r="A29" s="33" t="s">
        <v>894</v>
      </c>
      <c r="B29" s="33">
        <v>1303014.0</v>
      </c>
      <c r="C29" s="33" t="b">
        <v>1</v>
      </c>
      <c r="D29" s="33" t="s">
        <v>82</v>
      </c>
      <c r="E29" s="85">
        <v>1.0</v>
      </c>
      <c r="F29" s="85">
        <v>0.0</v>
      </c>
      <c r="G29" s="86"/>
      <c r="H29" s="223" t="s">
        <v>885</v>
      </c>
      <c r="I29" s="85" t="s">
        <v>887</v>
      </c>
      <c r="J29" s="88"/>
    </row>
    <row r="30">
      <c r="A30" s="295" t="s">
        <v>897</v>
      </c>
      <c r="B30" s="33">
        <v>1.30301E7</v>
      </c>
      <c r="C30" s="33" t="b">
        <v>1</v>
      </c>
      <c r="D30" s="33" t="s">
        <v>96</v>
      </c>
      <c r="E30" s="85">
        <v>2.0</v>
      </c>
      <c r="F30" s="85">
        <v>60.0</v>
      </c>
      <c r="G30" s="115"/>
      <c r="H30" s="223" t="s">
        <v>885</v>
      </c>
      <c r="I30" s="85" t="s">
        <v>887</v>
      </c>
      <c r="J30" s="33"/>
    </row>
    <row r="31">
      <c r="A31" s="51"/>
      <c r="B31" s="52"/>
      <c r="C31" s="52"/>
      <c r="D31" s="52" t="s">
        <v>101</v>
      </c>
      <c r="E31" s="54">
        <f t="shared" ref="E31:F31" si="3">sum(E26:E30)</f>
        <v>5</v>
      </c>
      <c r="F31" s="54">
        <f t="shared" si="3"/>
        <v>150</v>
      </c>
      <c r="G31" s="54"/>
      <c r="H31" s="54"/>
      <c r="I31" s="54"/>
      <c r="J31" s="56"/>
    </row>
    <row r="32" ht="18.75" customHeight="1">
      <c r="A32" s="296"/>
      <c r="B32" s="191"/>
      <c r="C32" s="191"/>
      <c r="D32" s="191"/>
      <c r="E32" s="191"/>
      <c r="F32" s="191"/>
      <c r="G32" s="191"/>
      <c r="H32" s="191"/>
      <c r="I32" s="191"/>
      <c r="J32" s="191"/>
    </row>
    <row r="33">
      <c r="A33" s="152" t="s">
        <v>906</v>
      </c>
      <c r="J33" s="153"/>
    </row>
    <row r="34" ht="18.75" customHeight="1">
      <c r="A34" s="232" t="s">
        <v>909</v>
      </c>
      <c r="J34" s="191"/>
    </row>
    <row r="35" ht="38.25" customHeight="1">
      <c r="A35" s="233" t="s">
        <v>41</v>
      </c>
      <c r="B35" s="233" t="s">
        <v>42</v>
      </c>
      <c r="C35" s="234" t="s">
        <v>43</v>
      </c>
      <c r="D35" s="233" t="s">
        <v>46</v>
      </c>
      <c r="E35" s="234" t="s">
        <v>47</v>
      </c>
      <c r="F35" s="29" t="s">
        <v>48</v>
      </c>
      <c r="G35" s="29" t="s">
        <v>49</v>
      </c>
      <c r="H35" s="234" t="s">
        <v>50</v>
      </c>
      <c r="I35" s="234" t="s">
        <v>51</v>
      </c>
      <c r="J35" s="234" t="s">
        <v>910</v>
      </c>
    </row>
    <row r="36">
      <c r="A36" s="298" t="s">
        <v>911</v>
      </c>
      <c r="B36" s="191">
        <v>1.30292E7</v>
      </c>
      <c r="C36" s="191" t="b">
        <v>1</v>
      </c>
      <c r="D36" s="191" t="s">
        <v>58</v>
      </c>
      <c r="E36" s="194">
        <v>1.0</v>
      </c>
      <c r="F36" s="238">
        <v>150.0</v>
      </c>
      <c r="G36" s="239"/>
      <c r="H36" s="238" t="s">
        <v>885</v>
      </c>
      <c r="I36" s="37" t="s">
        <v>887</v>
      </c>
      <c r="J36" s="242"/>
    </row>
    <row r="37">
      <c r="A37" s="206" t="s">
        <v>231</v>
      </c>
      <c r="B37" s="206">
        <v>1.30293E7</v>
      </c>
      <c r="C37" s="206" t="b">
        <v>1</v>
      </c>
      <c r="D37" s="206" t="s">
        <v>71</v>
      </c>
      <c r="E37" s="208">
        <v>1.0</v>
      </c>
      <c r="F37" s="238">
        <v>60.0</v>
      </c>
      <c r="G37" s="239"/>
      <c r="H37" s="238" t="s">
        <v>885</v>
      </c>
      <c r="I37" s="37" t="s">
        <v>887</v>
      </c>
      <c r="J37" s="126"/>
    </row>
    <row r="38">
      <c r="A38" s="206" t="s">
        <v>239</v>
      </c>
      <c r="B38" s="206">
        <v>1.30294E7</v>
      </c>
      <c r="C38" s="206" t="b">
        <v>1</v>
      </c>
      <c r="D38" s="206" t="s">
        <v>82</v>
      </c>
      <c r="E38" s="208">
        <v>1.0</v>
      </c>
      <c r="F38" s="238">
        <v>60.0</v>
      </c>
      <c r="G38" s="239"/>
      <c r="H38" s="238" t="s">
        <v>885</v>
      </c>
      <c r="I38" s="37" t="s">
        <v>887</v>
      </c>
      <c r="J38" s="303" t="s">
        <v>242</v>
      </c>
    </row>
    <row r="39">
      <c r="A39" s="304" t="s">
        <v>918</v>
      </c>
      <c r="B39" s="206">
        <v>1.30301E7</v>
      </c>
      <c r="C39" s="206" t="b">
        <v>1</v>
      </c>
      <c r="D39" s="206" t="s">
        <v>96</v>
      </c>
      <c r="E39" s="208">
        <v>2.0</v>
      </c>
      <c r="F39" s="238">
        <v>60.0</v>
      </c>
      <c r="G39" s="305"/>
      <c r="H39" s="238" t="s">
        <v>885</v>
      </c>
      <c r="I39" s="37" t="s">
        <v>887</v>
      </c>
      <c r="J39" s="126"/>
    </row>
    <row r="40">
      <c r="A40" s="51"/>
      <c r="B40" s="52"/>
      <c r="C40" s="52"/>
      <c r="D40" s="52" t="s">
        <v>101</v>
      </c>
      <c r="E40" s="54">
        <f t="shared" ref="E40:F40" si="4">sum(E37:E39)</f>
        <v>4</v>
      </c>
      <c r="F40" s="54">
        <f t="shared" si="4"/>
        <v>180</v>
      </c>
      <c r="G40" s="54"/>
      <c r="H40" s="54"/>
      <c r="I40" s="54"/>
      <c r="J40" s="56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24:I24"/>
    <mergeCell ref="A33:I33"/>
    <mergeCell ref="A34:I34"/>
    <mergeCell ref="B6:I6"/>
    <mergeCell ref="B7:I7"/>
    <mergeCell ref="A8:I8"/>
    <mergeCell ref="A9:I9"/>
    <mergeCell ref="A16:J16"/>
    <mergeCell ref="A17:I17"/>
    <mergeCell ref="A23:I23"/>
  </mergeCells>
  <dataValidations>
    <dataValidation type="list" allowBlank="1" sqref="D11:D14 D19:D21 D26:D30 D36:D39">
      <formula1>'Data Validation'!$A$2:$A$5</formula1>
    </dataValidation>
    <dataValidation type="list" allowBlank="1" sqref="E11:E14 E19:E21 E26:E30 E36:E39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25" footer="0.0" header="0.0" left="0.7" right="0.7" top="0.25"/>
  <pageSetup fitToWidth="0" paperSize="5" cellComments="atEnd" orientation="landscape" pageOrder="overThenDown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49.63"/>
  </cols>
  <sheetData>
    <row r="1" ht="66.75" customHeight="1">
      <c r="A1" s="1" t="s">
        <v>860</v>
      </c>
      <c r="J1" s="2" t="s">
        <v>1</v>
      </c>
    </row>
    <row r="2">
      <c r="A2" s="3" t="s">
        <v>2</v>
      </c>
      <c r="B2" s="5" t="s">
        <v>198</v>
      </c>
      <c r="J2" s="13" t="s">
        <v>6</v>
      </c>
    </row>
    <row r="3">
      <c r="A3" s="3" t="s">
        <v>14</v>
      </c>
      <c r="B3" s="5" t="s">
        <v>865</v>
      </c>
    </row>
    <row r="4">
      <c r="A4" s="3" t="s">
        <v>17</v>
      </c>
      <c r="B4" s="5" t="s">
        <v>866</v>
      </c>
      <c r="J4" s="18" t="s">
        <v>20</v>
      </c>
    </row>
    <row r="5">
      <c r="A5" s="3" t="s">
        <v>26</v>
      </c>
      <c r="B5" s="19">
        <v>4.0</v>
      </c>
      <c r="J5" s="24" t="s">
        <v>30</v>
      </c>
    </row>
    <row r="6">
      <c r="A6" s="3" t="s">
        <v>34</v>
      </c>
      <c r="B6" s="5">
        <v>0.0</v>
      </c>
    </row>
    <row r="7">
      <c r="A7" s="3" t="s">
        <v>36</v>
      </c>
      <c r="B7" s="5" t="s">
        <v>870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872</v>
      </c>
      <c r="J9" s="26"/>
    </row>
    <row r="10" ht="18.75" customHeight="1">
      <c r="A10" s="179" t="s">
        <v>873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874</v>
      </c>
    </row>
    <row r="12">
      <c r="A12" s="33" t="s">
        <v>875</v>
      </c>
      <c r="B12" s="33"/>
      <c r="C12" s="33" t="b">
        <v>0</v>
      </c>
      <c r="D12" s="33" t="s">
        <v>58</v>
      </c>
      <c r="E12" s="85">
        <v>1.0</v>
      </c>
      <c r="F12" s="85">
        <v>120.0</v>
      </c>
      <c r="G12" s="86"/>
      <c r="H12" s="85" t="s">
        <v>117</v>
      </c>
      <c r="I12" s="85"/>
      <c r="J12" s="129"/>
    </row>
    <row r="13">
      <c r="A13" s="33" t="s">
        <v>877</v>
      </c>
      <c r="B13" s="33">
        <v>1.30088E7</v>
      </c>
      <c r="C13" s="33" t="b">
        <v>0</v>
      </c>
      <c r="D13" s="33" t="s">
        <v>82</v>
      </c>
      <c r="E13" s="85">
        <v>1.0</v>
      </c>
      <c r="F13" s="85">
        <v>0.0</v>
      </c>
      <c r="G13" s="86"/>
      <c r="H13" s="85" t="s">
        <v>879</v>
      </c>
      <c r="I13" s="85" t="s">
        <v>881</v>
      </c>
      <c r="J13" s="129" t="s">
        <v>795</v>
      </c>
    </row>
    <row r="14">
      <c r="A14" s="186" t="s">
        <v>140</v>
      </c>
      <c r="B14" s="85" t="s">
        <v>883</v>
      </c>
      <c r="C14" s="88" t="b">
        <v>0</v>
      </c>
      <c r="D14" s="33" t="s">
        <v>96</v>
      </c>
      <c r="E14" s="85">
        <v>2.0</v>
      </c>
      <c r="F14" s="85">
        <v>100.0</v>
      </c>
      <c r="G14" s="115"/>
      <c r="H14" s="115" t="s">
        <v>884</v>
      </c>
      <c r="I14" s="85" t="s">
        <v>886</v>
      </c>
      <c r="J14" s="88"/>
    </row>
    <row r="15">
      <c r="A15" s="51"/>
      <c r="B15" s="52"/>
      <c r="C15" s="52"/>
      <c r="D15" s="52" t="s">
        <v>101</v>
      </c>
      <c r="E15" s="54">
        <f t="shared" ref="E15:F15" si="1">sum(E13:E14)</f>
        <v>3</v>
      </c>
      <c r="F15" s="54">
        <f t="shared" si="1"/>
        <v>100</v>
      </c>
      <c r="G15" s="54"/>
      <c r="H15" s="54"/>
      <c r="I15" s="54"/>
      <c r="J15" s="56"/>
    </row>
    <row r="16" ht="7.5" customHeight="1">
      <c r="A16" s="23"/>
      <c r="B16" s="23"/>
      <c r="C16" s="23"/>
      <c r="D16" s="23"/>
      <c r="E16" s="25"/>
      <c r="F16" s="23"/>
      <c r="G16" s="23"/>
      <c r="H16" s="23"/>
      <c r="I16" s="25"/>
      <c r="J16" s="23"/>
    </row>
    <row r="17" ht="18.75" customHeight="1">
      <c r="A17" s="26" t="s">
        <v>135</v>
      </c>
      <c r="J17" s="26"/>
    </row>
    <row r="18" ht="18.75" customHeight="1">
      <c r="A18" s="27" t="s">
        <v>891</v>
      </c>
      <c r="J18" s="27"/>
    </row>
    <row r="19">
      <c r="A19" s="28" t="s">
        <v>41</v>
      </c>
      <c r="B19" s="28" t="s">
        <v>42</v>
      </c>
      <c r="C19" s="29" t="s">
        <v>43</v>
      </c>
      <c r="D19" s="28" t="s">
        <v>46</v>
      </c>
      <c r="E19" s="29" t="s">
        <v>47</v>
      </c>
      <c r="F19" s="29" t="s">
        <v>48</v>
      </c>
      <c r="G19" s="29" t="s">
        <v>49</v>
      </c>
      <c r="H19" s="29" t="s">
        <v>50</v>
      </c>
      <c r="I19" s="29" t="s">
        <v>51</v>
      </c>
      <c r="J19" s="29" t="s">
        <v>895</v>
      </c>
    </row>
    <row r="20">
      <c r="A20" s="33" t="s">
        <v>896</v>
      </c>
      <c r="B20" s="27">
        <v>1.30112E7</v>
      </c>
      <c r="C20" s="34" t="b">
        <v>0</v>
      </c>
      <c r="D20" s="27" t="s">
        <v>58</v>
      </c>
      <c r="E20" s="37">
        <v>1.0</v>
      </c>
      <c r="F20" s="37">
        <v>120.0</v>
      </c>
      <c r="G20" s="37"/>
      <c r="H20" s="85" t="s">
        <v>898</v>
      </c>
      <c r="I20" s="85" t="s">
        <v>899</v>
      </c>
      <c r="J20" s="41"/>
    </row>
    <row r="21">
      <c r="A21" s="33" t="s">
        <v>413</v>
      </c>
      <c r="B21" s="27">
        <v>1.30344E7</v>
      </c>
      <c r="C21" s="34" t="b">
        <v>0</v>
      </c>
      <c r="D21" s="27" t="s">
        <v>71</v>
      </c>
      <c r="E21" s="37">
        <v>1.0</v>
      </c>
      <c r="F21" s="37">
        <v>60.0</v>
      </c>
      <c r="G21" s="38"/>
      <c r="H21" s="85" t="s">
        <v>900</v>
      </c>
      <c r="I21" s="85" t="s">
        <v>899</v>
      </c>
      <c r="J21" s="45" t="s">
        <v>75</v>
      </c>
    </row>
    <row r="22">
      <c r="A22" s="33" t="s">
        <v>310</v>
      </c>
      <c r="B22" s="27" t="s">
        <v>311</v>
      </c>
      <c r="C22" s="34" t="b">
        <v>0</v>
      </c>
      <c r="D22" s="27" t="s">
        <v>82</v>
      </c>
      <c r="E22" s="37">
        <v>1.0</v>
      </c>
      <c r="F22" s="37">
        <v>100.0</v>
      </c>
      <c r="G22" s="38"/>
      <c r="H22" s="85" t="s">
        <v>901</v>
      </c>
      <c r="I22" s="85" t="s">
        <v>881</v>
      </c>
      <c r="J22" s="45" t="s">
        <v>75</v>
      </c>
    </row>
    <row r="23">
      <c r="A23" s="33" t="s">
        <v>902</v>
      </c>
      <c r="B23" s="232"/>
      <c r="C23" s="27" t="b">
        <v>1</v>
      </c>
      <c r="D23" s="27" t="s">
        <v>96</v>
      </c>
      <c r="E23" s="37">
        <v>2.0</v>
      </c>
      <c r="F23" s="37">
        <v>0.0</v>
      </c>
      <c r="G23" s="38"/>
      <c r="H23" s="85" t="s">
        <v>903</v>
      </c>
      <c r="I23" s="85" t="s">
        <v>899</v>
      </c>
      <c r="J23" s="41"/>
    </row>
    <row r="24">
      <c r="A24" s="186" t="s">
        <v>904</v>
      </c>
      <c r="B24" s="37" t="s">
        <v>883</v>
      </c>
      <c r="C24" s="34" t="b">
        <v>0</v>
      </c>
      <c r="D24" s="27" t="s">
        <v>96</v>
      </c>
      <c r="E24" s="37">
        <v>2.0</v>
      </c>
      <c r="F24" s="37">
        <v>100.0</v>
      </c>
      <c r="G24" s="180"/>
      <c r="H24" s="115" t="s">
        <v>901</v>
      </c>
      <c r="I24" s="85" t="s">
        <v>881</v>
      </c>
      <c r="J24" s="41"/>
    </row>
    <row r="25">
      <c r="A25" s="51"/>
      <c r="B25" s="52"/>
      <c r="C25" s="52"/>
      <c r="D25" s="52" t="s">
        <v>101</v>
      </c>
      <c r="E25" s="54">
        <f t="shared" ref="E25:F25" si="2">sum(E20:E24)</f>
        <v>7</v>
      </c>
      <c r="F25" s="54">
        <f t="shared" si="2"/>
        <v>380</v>
      </c>
      <c r="G25" s="54"/>
      <c r="H25" s="54"/>
      <c r="I25" s="54"/>
      <c r="J25" s="56"/>
    </row>
    <row r="26" ht="7.5" customHeight="1">
      <c r="A26" s="23"/>
      <c r="B26" s="23"/>
      <c r="C26" s="23"/>
      <c r="D26" s="23"/>
      <c r="E26" s="25"/>
      <c r="F26" s="23"/>
      <c r="G26" s="23"/>
      <c r="H26" s="23"/>
      <c r="I26" s="25"/>
      <c r="J26" s="23"/>
    </row>
    <row r="27" ht="18.75" customHeight="1">
      <c r="A27" s="26" t="s">
        <v>916</v>
      </c>
      <c r="J27" s="26"/>
    </row>
    <row r="28" ht="18.75" customHeight="1">
      <c r="A28" s="27"/>
      <c r="J28" s="27"/>
    </row>
    <row r="29">
      <c r="A29" s="28" t="s">
        <v>41</v>
      </c>
      <c r="B29" s="28" t="s">
        <v>42</v>
      </c>
      <c r="C29" s="29" t="s">
        <v>43</v>
      </c>
      <c r="D29" s="28" t="s">
        <v>46</v>
      </c>
      <c r="E29" s="29" t="s">
        <v>47</v>
      </c>
      <c r="F29" s="29" t="s">
        <v>48</v>
      </c>
      <c r="G29" s="29" t="s">
        <v>49</v>
      </c>
      <c r="H29" s="29" t="s">
        <v>50</v>
      </c>
      <c r="I29" s="29" t="s">
        <v>51</v>
      </c>
      <c r="J29" s="29" t="s">
        <v>917</v>
      </c>
    </row>
    <row r="30">
      <c r="A30" s="27"/>
      <c r="B30" s="34"/>
      <c r="C30" s="34"/>
      <c r="D30" s="27"/>
      <c r="E30" s="37"/>
      <c r="F30" s="37"/>
      <c r="G30" s="37"/>
      <c r="H30" s="37"/>
      <c r="I30" s="37"/>
      <c r="J30" s="302"/>
    </row>
    <row r="31">
      <c r="A31" s="27"/>
      <c r="B31" s="34"/>
      <c r="C31" s="34"/>
      <c r="D31" s="27"/>
      <c r="E31" s="37"/>
      <c r="F31" s="37"/>
      <c r="G31" s="37"/>
      <c r="H31" s="37"/>
      <c r="I31" s="37"/>
      <c r="J31" s="41"/>
    </row>
    <row r="32">
      <c r="A32" s="27"/>
      <c r="B32" s="34"/>
      <c r="C32" s="34"/>
      <c r="D32" s="27"/>
      <c r="E32" s="37"/>
      <c r="F32" s="37"/>
      <c r="G32" s="37"/>
      <c r="H32" s="37"/>
      <c r="I32" s="37"/>
      <c r="J32" s="45"/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76"/>
      <c r="J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76"/>
      <c r="J34" s="41"/>
    </row>
    <row r="35">
      <c r="A35" s="51"/>
      <c r="B35" s="52"/>
      <c r="C35" s="52"/>
      <c r="D35" s="52" t="s">
        <v>101</v>
      </c>
      <c r="E35" s="54">
        <f t="shared" ref="E35:F35" si="3">sum(E30:E34)</f>
        <v>0</v>
      </c>
      <c r="F35" s="54">
        <f t="shared" si="3"/>
        <v>0</v>
      </c>
      <c r="G35" s="54"/>
      <c r="H35" s="54"/>
      <c r="I35" s="54"/>
      <c r="J35" s="56"/>
    </row>
    <row r="36" ht="7.5" customHeight="1">
      <c r="A36" s="23"/>
      <c r="B36" s="23"/>
      <c r="C36" s="23"/>
      <c r="D36" s="23"/>
      <c r="E36" s="25"/>
      <c r="F36" s="23"/>
      <c r="G36" s="23"/>
      <c r="H36" s="23"/>
      <c r="I36" s="25"/>
      <c r="J36" s="23"/>
    </row>
    <row r="37" ht="18.75" customHeight="1">
      <c r="A37" s="26" t="s">
        <v>923</v>
      </c>
      <c r="J37" s="26"/>
    </row>
    <row r="38" ht="18.75" customHeight="1">
      <c r="A38" s="306"/>
      <c r="B38" s="307" t="s">
        <v>724</v>
      </c>
      <c r="I38" s="27"/>
      <c r="J38" s="27"/>
    </row>
    <row r="39">
      <c r="A39" s="28" t="s">
        <v>41</v>
      </c>
      <c r="B39" s="28" t="s">
        <v>42</v>
      </c>
      <c r="C39" s="29" t="s">
        <v>43</v>
      </c>
      <c r="D39" s="28" t="s">
        <v>46</v>
      </c>
      <c r="E39" s="29" t="s">
        <v>47</v>
      </c>
      <c r="F39" s="29" t="s">
        <v>48</v>
      </c>
      <c r="G39" s="29" t="s">
        <v>49</v>
      </c>
      <c r="H39" s="29" t="s">
        <v>50</v>
      </c>
      <c r="I39" s="29" t="s">
        <v>51</v>
      </c>
      <c r="J39" s="29" t="s">
        <v>927</v>
      </c>
    </row>
    <row r="40">
      <c r="A40" s="308" t="s">
        <v>929</v>
      </c>
      <c r="B40" s="309">
        <v>3580200.0</v>
      </c>
      <c r="C40" s="191" t="b">
        <v>0</v>
      </c>
      <c r="D40" s="191" t="s">
        <v>71</v>
      </c>
      <c r="E40" s="194">
        <v>1.0</v>
      </c>
      <c r="F40" s="194">
        <v>90.0</v>
      </c>
      <c r="G40" s="194" t="s">
        <v>931</v>
      </c>
      <c r="H40" s="194" t="s">
        <v>886</v>
      </c>
      <c r="I40" s="194" t="s">
        <v>886</v>
      </c>
      <c r="J40" s="242"/>
    </row>
    <row r="41">
      <c r="A41" s="310" t="s">
        <v>932</v>
      </c>
      <c r="B41" s="161">
        <v>3580820.0</v>
      </c>
      <c r="C41" s="311" t="b">
        <v>1</v>
      </c>
      <c r="D41" s="311" t="s">
        <v>82</v>
      </c>
      <c r="E41" s="312">
        <v>1.0</v>
      </c>
      <c r="F41" s="312">
        <v>60.0</v>
      </c>
      <c r="G41" s="313">
        <v>5.0</v>
      </c>
      <c r="H41" s="312" t="s">
        <v>936</v>
      </c>
      <c r="I41" s="312" t="s">
        <v>881</v>
      </c>
      <c r="J41" s="314" t="s">
        <v>937</v>
      </c>
    </row>
    <row r="42">
      <c r="A42" s="310" t="s">
        <v>932</v>
      </c>
      <c r="B42" s="161">
        <v>3580820.0</v>
      </c>
      <c r="C42" s="311" t="b">
        <v>1</v>
      </c>
      <c r="D42" s="311" t="s">
        <v>82</v>
      </c>
      <c r="E42" s="312">
        <v>1.0</v>
      </c>
      <c r="F42" s="312">
        <v>60.0</v>
      </c>
      <c r="G42" s="312" t="s">
        <v>941</v>
      </c>
      <c r="H42" s="312" t="s">
        <v>942</v>
      </c>
      <c r="I42" s="312" t="s">
        <v>881</v>
      </c>
      <c r="J42" s="314" t="s">
        <v>937</v>
      </c>
    </row>
    <row r="43">
      <c r="A43" s="241" t="s">
        <v>943</v>
      </c>
      <c r="B43" s="202">
        <v>3581500.0</v>
      </c>
      <c r="C43" s="191" t="b">
        <v>1</v>
      </c>
      <c r="D43" s="191" t="s">
        <v>96</v>
      </c>
      <c r="E43" s="194">
        <v>1.0</v>
      </c>
      <c r="F43" s="194">
        <v>30.0</v>
      </c>
      <c r="G43" s="194">
        <v>48.0</v>
      </c>
      <c r="H43" s="194" t="s">
        <v>942</v>
      </c>
      <c r="I43" s="194" t="s">
        <v>881</v>
      </c>
      <c r="J43" s="196" t="s">
        <v>947</v>
      </c>
    </row>
    <row r="44">
      <c r="A44" s="310" t="s">
        <v>948</v>
      </c>
      <c r="B44" s="321"/>
      <c r="C44" s="311" t="b">
        <v>1</v>
      </c>
      <c r="D44" s="311" t="s">
        <v>71</v>
      </c>
      <c r="E44" s="312">
        <v>1.0</v>
      </c>
      <c r="F44" s="312">
        <v>35.0</v>
      </c>
      <c r="G44" s="313" t="s">
        <v>951</v>
      </c>
      <c r="H44" s="312" t="s">
        <v>936</v>
      </c>
      <c r="I44" s="312" t="s">
        <v>881</v>
      </c>
      <c r="J44" s="324" t="s">
        <v>937</v>
      </c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76"/>
      <c r="J45" s="41"/>
    </row>
    <row r="46">
      <c r="A46" s="51"/>
      <c r="B46" s="52"/>
      <c r="C46" s="52"/>
      <c r="D46" s="52" t="s">
        <v>101</v>
      </c>
      <c r="E46" s="54">
        <f t="shared" ref="E46:F46" si="4">sum(E40:E45)</f>
        <v>5</v>
      </c>
      <c r="F46" s="54">
        <f t="shared" si="4"/>
        <v>275</v>
      </c>
      <c r="G46" s="54"/>
      <c r="H46" s="54"/>
      <c r="I46" s="54"/>
      <c r="J46" s="56"/>
    </row>
    <row r="47" ht="7.5" customHeight="1">
      <c r="A47" s="23"/>
      <c r="B47" s="23"/>
      <c r="C47" s="23"/>
      <c r="D47" s="23"/>
      <c r="E47" s="25"/>
      <c r="F47" s="23"/>
      <c r="G47" s="23"/>
      <c r="H47" s="23"/>
      <c r="I47" s="25"/>
      <c r="J47" s="23"/>
    </row>
  </sheetData>
  <mergeCells count="17">
    <mergeCell ref="A1:I1"/>
    <mergeCell ref="B2:I2"/>
    <mergeCell ref="J2:J3"/>
    <mergeCell ref="B3:I3"/>
    <mergeCell ref="B4:I4"/>
    <mergeCell ref="B5:I5"/>
    <mergeCell ref="J5:J6"/>
    <mergeCell ref="A28:I28"/>
    <mergeCell ref="A37:I37"/>
    <mergeCell ref="B38:H38"/>
    <mergeCell ref="B6:I6"/>
    <mergeCell ref="B7:I7"/>
    <mergeCell ref="A9:I9"/>
    <mergeCell ref="A10:I10"/>
    <mergeCell ref="A17:I17"/>
    <mergeCell ref="A18:I18"/>
    <mergeCell ref="A27:I27"/>
  </mergeCells>
  <dataValidations>
    <dataValidation type="list" allowBlank="1" sqref="D12:D14 D20:D24 D30:D34 D45">
      <formula1>'Data Validation'!$A$2:$A$5</formula1>
    </dataValidation>
    <dataValidation type="list" allowBlank="1" sqref="E40:E44">
      <formula1>'Data Validation'!$B$2:$B$4</formula1>
    </dataValidation>
    <dataValidation type="list" allowBlank="1" sqref="E12:E14 E20:E24 E30:E34 E45">
      <formula1>'Data Validation'!$B$2:$B$4</formula1>
    </dataValidation>
    <dataValidation type="list" allowBlank="1" sqref="D40:D44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34.75"/>
    <col customWidth="1" min="10" max="10" width="53.0"/>
  </cols>
  <sheetData>
    <row r="1" ht="66.75" customHeight="1">
      <c r="A1" s="1" t="s">
        <v>882</v>
      </c>
      <c r="J1" s="2" t="s">
        <v>1</v>
      </c>
    </row>
    <row r="2">
      <c r="A2" s="3" t="s">
        <v>2</v>
      </c>
      <c r="B2" s="5" t="s">
        <v>202</v>
      </c>
      <c r="J2" s="13" t="s">
        <v>6</v>
      </c>
    </row>
    <row r="3">
      <c r="A3" s="3" t="s">
        <v>14</v>
      </c>
      <c r="B3" s="5" t="s">
        <v>889</v>
      </c>
    </row>
    <row r="4">
      <c r="A4" s="3" t="s">
        <v>17</v>
      </c>
      <c r="B4" s="5" t="s">
        <v>893</v>
      </c>
      <c r="J4" s="18" t="s">
        <v>20</v>
      </c>
    </row>
    <row r="5">
      <c r="A5" s="3" t="s">
        <v>26</v>
      </c>
      <c r="B5" s="19">
        <v>28.0</v>
      </c>
      <c r="J5" s="24" t="s">
        <v>30</v>
      </c>
    </row>
    <row r="6">
      <c r="A6" s="3" t="s">
        <v>34</v>
      </c>
      <c r="B6" s="19"/>
    </row>
    <row r="7">
      <c r="A7" s="3" t="s">
        <v>36</v>
      </c>
      <c r="B7" s="19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33" t="s">
        <v>905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907</v>
      </c>
    </row>
    <row r="12">
      <c r="A12" s="69" t="s">
        <v>908</v>
      </c>
      <c r="B12" s="69">
        <v>1.30251E7</v>
      </c>
      <c r="C12" s="297" t="b">
        <v>0</v>
      </c>
      <c r="D12" s="69" t="s">
        <v>58</v>
      </c>
      <c r="E12" s="63">
        <v>1.0</v>
      </c>
      <c r="F12" s="63">
        <v>50.0</v>
      </c>
      <c r="G12" s="299"/>
      <c r="H12" s="63" t="s">
        <v>912</v>
      </c>
      <c r="I12" s="69" t="s">
        <v>913</v>
      </c>
      <c r="J12" s="41"/>
    </row>
    <row r="13">
      <c r="A13" s="69" t="s">
        <v>914</v>
      </c>
      <c r="B13" s="69" t="s">
        <v>915</v>
      </c>
      <c r="C13" s="69" t="b">
        <v>0</v>
      </c>
      <c r="D13" s="69" t="s">
        <v>71</v>
      </c>
      <c r="E13" s="63">
        <v>3.0</v>
      </c>
      <c r="F13" s="63">
        <v>25.0</v>
      </c>
      <c r="G13" s="299"/>
      <c r="H13" s="63" t="s">
        <v>912</v>
      </c>
      <c r="I13" s="300"/>
      <c r="J13" s="41"/>
    </row>
    <row r="14">
      <c r="A14" s="27"/>
      <c r="B14" s="27"/>
      <c r="C14" s="27" t="b">
        <v>0</v>
      </c>
      <c r="D14" s="27"/>
      <c r="E14" s="37"/>
      <c r="F14" s="37"/>
      <c r="G14" s="37"/>
      <c r="H14" s="37"/>
      <c r="I14" s="76"/>
      <c r="J14" s="301"/>
    </row>
    <row r="15">
      <c r="A15" s="27"/>
      <c r="B15" s="27"/>
      <c r="C15" s="27" t="b">
        <v>0</v>
      </c>
      <c r="D15" s="27"/>
      <c r="E15" s="37"/>
      <c r="F15" s="37"/>
      <c r="G15" s="37"/>
      <c r="H15" s="76"/>
      <c r="I15" s="76"/>
      <c r="J15" s="45"/>
    </row>
    <row r="16">
      <c r="A16" s="27"/>
      <c r="B16" s="27"/>
      <c r="C16" s="27" t="b">
        <v>0</v>
      </c>
      <c r="D16" s="27"/>
      <c r="E16" s="37"/>
      <c r="F16" s="37"/>
      <c r="G16" s="37"/>
      <c r="H16" s="76"/>
      <c r="I16" s="76"/>
      <c r="J16" s="41"/>
    </row>
    <row r="17">
      <c r="A17" s="51"/>
      <c r="B17" s="52"/>
      <c r="C17" s="52"/>
      <c r="D17" s="52" t="s">
        <v>101</v>
      </c>
      <c r="E17" s="54">
        <f t="shared" ref="E17:G17" si="1">sum(E12:E15)</f>
        <v>4</v>
      </c>
      <c r="F17" s="54">
        <f t="shared" si="1"/>
        <v>75</v>
      </c>
      <c r="G17" s="54">
        <f t="shared" si="1"/>
        <v>0</v>
      </c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26" t="s">
        <v>135</v>
      </c>
      <c r="J19" s="26"/>
    </row>
    <row r="20" ht="18.75" customHeight="1">
      <c r="A20" s="33" t="s">
        <v>919</v>
      </c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920</v>
      </c>
    </row>
    <row r="22">
      <c r="A22" s="33" t="s">
        <v>921</v>
      </c>
      <c r="B22" s="33">
        <v>1.30292E7</v>
      </c>
      <c r="C22" s="88" t="b">
        <v>0</v>
      </c>
      <c r="D22" s="33" t="s">
        <v>58</v>
      </c>
      <c r="E22" s="85">
        <v>1.0</v>
      </c>
      <c r="F22" s="85">
        <v>25.0</v>
      </c>
      <c r="G22" s="85"/>
      <c r="H22" s="85" t="s">
        <v>263</v>
      </c>
      <c r="I22" s="85" t="s">
        <v>922</v>
      </c>
      <c r="J22" s="88"/>
    </row>
    <row r="23">
      <c r="A23" s="33" t="s">
        <v>880</v>
      </c>
      <c r="B23" s="33">
        <v>1.30296E7</v>
      </c>
      <c r="C23" s="88" t="b">
        <v>0</v>
      </c>
      <c r="D23" s="33" t="s">
        <v>71</v>
      </c>
      <c r="E23" s="85">
        <v>1.0</v>
      </c>
      <c r="F23" s="85">
        <v>25.0</v>
      </c>
      <c r="G23" s="85"/>
      <c r="H23" s="85" t="s">
        <v>263</v>
      </c>
      <c r="I23" s="85" t="s">
        <v>922</v>
      </c>
      <c r="J23" s="88"/>
    </row>
    <row r="24">
      <c r="A24" s="33" t="s">
        <v>924</v>
      </c>
      <c r="B24" s="33">
        <v>1301170.0</v>
      </c>
      <c r="C24" s="88" t="b">
        <v>0</v>
      </c>
      <c r="D24" s="33" t="s">
        <v>82</v>
      </c>
      <c r="E24" s="85">
        <v>1.0</v>
      </c>
      <c r="F24" s="85">
        <v>25.0</v>
      </c>
      <c r="G24" s="85"/>
      <c r="H24" s="85" t="s">
        <v>263</v>
      </c>
      <c r="I24" s="85" t="s">
        <v>922</v>
      </c>
      <c r="J24" s="88"/>
    </row>
    <row r="25">
      <c r="A25" s="33" t="s">
        <v>925</v>
      </c>
      <c r="B25" s="33" t="s">
        <v>926</v>
      </c>
      <c r="C25" s="88" t="b">
        <v>0</v>
      </c>
      <c r="D25" s="33" t="s">
        <v>82</v>
      </c>
      <c r="E25" s="85">
        <v>1.0</v>
      </c>
      <c r="F25" s="85">
        <v>25.0</v>
      </c>
      <c r="G25" s="85"/>
      <c r="H25" s="85" t="s">
        <v>263</v>
      </c>
      <c r="I25" s="85" t="s">
        <v>922</v>
      </c>
      <c r="J25" s="33" t="s">
        <v>930</v>
      </c>
    </row>
    <row r="26">
      <c r="A26" s="33" t="s">
        <v>897</v>
      </c>
      <c r="B26" s="33">
        <v>1.30301E7</v>
      </c>
      <c r="C26" s="88" t="b">
        <v>0</v>
      </c>
      <c r="D26" s="33" t="s">
        <v>96</v>
      </c>
      <c r="E26" s="85">
        <v>2.0</v>
      </c>
      <c r="F26" s="85">
        <v>25.0</v>
      </c>
      <c r="G26" s="85"/>
      <c r="H26" s="85" t="s">
        <v>263</v>
      </c>
      <c r="I26" s="85" t="s">
        <v>922</v>
      </c>
      <c r="J26" s="33"/>
    </row>
    <row r="27">
      <c r="A27" s="51"/>
      <c r="B27" s="52"/>
      <c r="C27" s="52"/>
      <c r="D27" s="52" t="s">
        <v>101</v>
      </c>
      <c r="E27" s="54">
        <f t="shared" ref="E27:G27" si="2">sum(E22:E26)</f>
        <v>6</v>
      </c>
      <c r="F27" s="54">
        <f t="shared" si="2"/>
        <v>125</v>
      </c>
      <c r="G27" s="54">
        <f t="shared" si="2"/>
        <v>0</v>
      </c>
      <c r="H27" s="54"/>
      <c r="I27" s="54"/>
      <c r="J27" s="56"/>
    </row>
    <row r="28" ht="7.5" customHeight="1">
      <c r="A28" s="23"/>
      <c r="B28" s="23"/>
      <c r="C28" s="23"/>
      <c r="D28" s="23"/>
      <c r="E28" s="25"/>
      <c r="F28" s="23"/>
      <c r="G28" s="23"/>
      <c r="H28" s="23"/>
      <c r="I28" s="25"/>
      <c r="J28" s="23"/>
    </row>
    <row r="29" ht="18.75" customHeight="1">
      <c r="A29" s="26" t="s">
        <v>111</v>
      </c>
      <c r="J29" s="26"/>
    </row>
    <row r="30" ht="18.75" customHeight="1">
      <c r="A30" s="33" t="s">
        <v>935</v>
      </c>
      <c r="J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48</v>
      </c>
      <c r="G31" s="29" t="s">
        <v>49</v>
      </c>
      <c r="H31" s="29" t="s">
        <v>50</v>
      </c>
      <c r="I31" s="29" t="s">
        <v>51</v>
      </c>
      <c r="J31" s="29" t="s">
        <v>938</v>
      </c>
    </row>
    <row r="32">
      <c r="A32" s="174" t="s">
        <v>939</v>
      </c>
      <c r="B32" s="174">
        <v>1.30225E7</v>
      </c>
      <c r="C32" s="174" t="b">
        <v>0</v>
      </c>
      <c r="D32" s="174" t="s">
        <v>82</v>
      </c>
      <c r="E32" s="316">
        <v>1.0</v>
      </c>
      <c r="F32" s="316">
        <v>50.0</v>
      </c>
      <c r="G32" s="317"/>
      <c r="H32" s="316" t="s">
        <v>944</v>
      </c>
      <c r="I32" s="318"/>
      <c r="J32" s="319"/>
    </row>
    <row r="33">
      <c r="A33" s="174" t="s">
        <v>945</v>
      </c>
      <c r="B33" s="174"/>
      <c r="C33" s="174" t="b">
        <v>0</v>
      </c>
      <c r="D33" s="174" t="s">
        <v>96</v>
      </c>
      <c r="E33" s="316">
        <v>2.0</v>
      </c>
      <c r="F33" s="316">
        <v>25.0</v>
      </c>
      <c r="G33" s="317"/>
      <c r="H33" s="316" t="s">
        <v>944</v>
      </c>
      <c r="I33" s="318"/>
      <c r="J33" s="174" t="s">
        <v>949</v>
      </c>
    </row>
    <row r="34">
      <c r="A34" s="51"/>
      <c r="B34" s="52"/>
      <c r="C34" s="52"/>
      <c r="D34" s="52" t="s">
        <v>101</v>
      </c>
      <c r="E34" s="54">
        <f t="shared" ref="E34:G34" si="3">sum(E32:E33)</f>
        <v>3</v>
      </c>
      <c r="F34" s="54">
        <f t="shared" si="3"/>
        <v>75</v>
      </c>
      <c r="G34" s="54">
        <f t="shared" si="3"/>
        <v>0</v>
      </c>
      <c r="H34" s="54"/>
      <c r="I34" s="54"/>
      <c r="J34" s="56"/>
    </row>
    <row r="35" ht="7.5" customHeight="1">
      <c r="A35" s="23"/>
      <c r="B35" s="23"/>
      <c r="C35" s="23"/>
      <c r="D35" s="23"/>
      <c r="E35" s="25"/>
      <c r="F35" s="23"/>
      <c r="G35" s="23"/>
      <c r="H35" s="23"/>
      <c r="I35" s="25"/>
      <c r="J35" s="23"/>
    </row>
    <row r="36" ht="18.75" customHeight="1">
      <c r="A36" s="26" t="s">
        <v>169</v>
      </c>
      <c r="J36" s="26"/>
    </row>
    <row r="37" ht="18.75" customHeight="1">
      <c r="A37" s="27" t="s">
        <v>954</v>
      </c>
      <c r="J37" s="27"/>
    </row>
    <row r="38">
      <c r="A38" s="28" t="s">
        <v>41</v>
      </c>
      <c r="B38" s="28" t="s">
        <v>42</v>
      </c>
      <c r="C38" s="29" t="s">
        <v>43</v>
      </c>
      <c r="D38" s="28" t="s">
        <v>46</v>
      </c>
      <c r="E38" s="29" t="s">
        <v>47</v>
      </c>
      <c r="F38" s="29" t="s">
        <v>48</v>
      </c>
      <c r="G38" s="29" t="s">
        <v>49</v>
      </c>
      <c r="H38" s="29" t="s">
        <v>50</v>
      </c>
      <c r="I38" s="29" t="s">
        <v>51</v>
      </c>
      <c r="J38" s="29" t="s">
        <v>958</v>
      </c>
    </row>
    <row r="39">
      <c r="A39" s="33" t="s">
        <v>959</v>
      </c>
      <c r="B39" s="27">
        <v>1.300421E7</v>
      </c>
      <c r="C39" s="27" t="b">
        <v>0</v>
      </c>
      <c r="D39" s="27" t="s">
        <v>58</v>
      </c>
      <c r="E39" s="37">
        <v>1.0</v>
      </c>
      <c r="F39" s="37">
        <v>25.0</v>
      </c>
      <c r="G39" s="37"/>
      <c r="H39" s="37" t="s">
        <v>960</v>
      </c>
      <c r="I39" s="37" t="s">
        <v>88</v>
      </c>
      <c r="J39" s="45" t="s">
        <v>629</v>
      </c>
    </row>
    <row r="40">
      <c r="A40" s="33" t="s">
        <v>619</v>
      </c>
      <c r="B40" s="27">
        <v>1.30046E7</v>
      </c>
      <c r="C40" s="27" t="b">
        <v>1</v>
      </c>
      <c r="D40" s="27" t="s">
        <v>71</v>
      </c>
      <c r="E40" s="37">
        <v>1.0</v>
      </c>
      <c r="F40" s="37">
        <v>25.0</v>
      </c>
      <c r="G40" s="37"/>
      <c r="H40" s="37" t="s">
        <v>960</v>
      </c>
      <c r="I40" s="37" t="s">
        <v>88</v>
      </c>
      <c r="J40" s="45" t="s">
        <v>961</v>
      </c>
    </row>
    <row r="41">
      <c r="A41" s="33" t="s">
        <v>962</v>
      </c>
      <c r="B41" s="27">
        <v>1.30047E7</v>
      </c>
      <c r="C41" s="27" t="b">
        <v>1</v>
      </c>
      <c r="D41" s="27" t="s">
        <v>82</v>
      </c>
      <c r="E41" s="37">
        <v>2.0</v>
      </c>
      <c r="F41" s="37">
        <v>25.0</v>
      </c>
      <c r="G41" s="37"/>
      <c r="H41" s="37" t="s">
        <v>960</v>
      </c>
      <c r="I41" s="37" t="s">
        <v>88</v>
      </c>
      <c r="J41" s="45" t="s">
        <v>961</v>
      </c>
    </row>
    <row r="42">
      <c r="A42" s="33" t="s">
        <v>963</v>
      </c>
      <c r="B42" s="27">
        <v>1.30048E7</v>
      </c>
      <c r="C42" s="27" t="b">
        <v>1</v>
      </c>
      <c r="D42" s="27" t="s">
        <v>96</v>
      </c>
      <c r="E42" s="37">
        <v>2.0</v>
      </c>
      <c r="F42" s="37">
        <v>25.0</v>
      </c>
      <c r="G42" s="37"/>
      <c r="H42" s="37" t="s">
        <v>960</v>
      </c>
      <c r="I42" s="37" t="s">
        <v>88</v>
      </c>
      <c r="J42" s="222" t="s">
        <v>639</v>
      </c>
    </row>
    <row r="43">
      <c r="A43" s="51"/>
      <c r="B43" s="52"/>
      <c r="C43" s="52"/>
      <c r="D43" s="52" t="s">
        <v>101</v>
      </c>
      <c r="E43" s="54">
        <f t="shared" ref="E43:G43" si="4">sum(E39:E42)</f>
        <v>6</v>
      </c>
      <c r="F43" s="54">
        <f t="shared" si="4"/>
        <v>100</v>
      </c>
      <c r="G43" s="54">
        <f t="shared" si="4"/>
        <v>0</v>
      </c>
      <c r="H43" s="54"/>
      <c r="I43" s="54"/>
      <c r="J43" s="56"/>
    </row>
    <row r="44" ht="7.5" customHeight="1">
      <c r="A44" s="23"/>
      <c r="B44" s="23"/>
      <c r="C44" s="23"/>
      <c r="D44" s="23"/>
      <c r="E44" s="25"/>
      <c r="F44" s="23"/>
      <c r="G44" s="23"/>
      <c r="H44" s="23"/>
      <c r="I44" s="25"/>
      <c r="J44" s="23"/>
    </row>
    <row r="45" ht="18.75" customHeight="1">
      <c r="A45" s="26" t="s">
        <v>205</v>
      </c>
      <c r="J45" s="26"/>
    </row>
    <row r="46" ht="18.75" customHeight="1">
      <c r="A46" s="27" t="s">
        <v>964</v>
      </c>
      <c r="J46" s="27"/>
    </row>
    <row r="47">
      <c r="A47" s="28" t="s">
        <v>41</v>
      </c>
      <c r="B47" s="28" t="s">
        <v>42</v>
      </c>
      <c r="C47" s="29" t="s">
        <v>43</v>
      </c>
      <c r="D47" s="28" t="s">
        <v>46</v>
      </c>
      <c r="E47" s="29" t="s">
        <v>47</v>
      </c>
      <c r="F47" s="29" t="s">
        <v>48</v>
      </c>
      <c r="G47" s="29" t="s">
        <v>49</v>
      </c>
      <c r="H47" s="29" t="s">
        <v>50</v>
      </c>
      <c r="I47" s="29" t="s">
        <v>51</v>
      </c>
      <c r="J47" s="29" t="s">
        <v>966</v>
      </c>
    </row>
    <row r="48">
      <c r="A48" s="33" t="s">
        <v>967</v>
      </c>
      <c r="B48" s="27">
        <v>1.303975E7</v>
      </c>
      <c r="C48" s="34" t="b">
        <v>0</v>
      </c>
      <c r="D48" s="27" t="s">
        <v>58</v>
      </c>
      <c r="E48" s="37">
        <v>1.0</v>
      </c>
      <c r="F48" s="37">
        <v>25.0</v>
      </c>
      <c r="G48" s="37"/>
      <c r="H48" s="37" t="s">
        <v>969</v>
      </c>
      <c r="I48" s="37" t="s">
        <v>88</v>
      </c>
      <c r="J48" s="42" t="s">
        <v>65</v>
      </c>
    </row>
    <row r="49">
      <c r="A49" s="33" t="s">
        <v>970</v>
      </c>
      <c r="B49" s="27">
        <v>1.30398E7</v>
      </c>
      <c r="C49" s="34" t="b">
        <v>0</v>
      </c>
      <c r="D49" s="27" t="s">
        <v>71</v>
      </c>
      <c r="E49" s="37">
        <v>2.0</v>
      </c>
      <c r="F49" s="37">
        <v>25.0</v>
      </c>
      <c r="G49" s="37"/>
      <c r="H49" s="37" t="s">
        <v>969</v>
      </c>
      <c r="I49" s="37" t="s">
        <v>88</v>
      </c>
      <c r="J49" s="42" t="s">
        <v>665</v>
      </c>
    </row>
    <row r="50">
      <c r="A50" s="33" t="s">
        <v>971</v>
      </c>
      <c r="B50" s="27">
        <v>1.30399E7</v>
      </c>
      <c r="C50" s="34" t="b">
        <v>0</v>
      </c>
      <c r="D50" s="27" t="s">
        <v>82</v>
      </c>
      <c r="E50" s="37">
        <v>2.0</v>
      </c>
      <c r="F50" s="37">
        <v>25.0</v>
      </c>
      <c r="G50" s="37"/>
      <c r="H50" s="37" t="s">
        <v>969</v>
      </c>
      <c r="I50" s="37" t="s">
        <v>88</v>
      </c>
      <c r="J50" s="42" t="s">
        <v>665</v>
      </c>
    </row>
    <row r="51">
      <c r="A51" s="33" t="s">
        <v>975</v>
      </c>
      <c r="B51" s="27">
        <v>1.304045E7</v>
      </c>
      <c r="C51" s="34" t="b">
        <v>0</v>
      </c>
      <c r="D51" s="27" t="s">
        <v>96</v>
      </c>
      <c r="E51" s="37">
        <v>2.0</v>
      </c>
      <c r="F51" s="37">
        <v>25.0</v>
      </c>
      <c r="G51" s="37"/>
      <c r="H51" s="37" t="s">
        <v>969</v>
      </c>
      <c r="I51" s="37" t="s">
        <v>88</v>
      </c>
      <c r="J51" s="42" t="s">
        <v>665</v>
      </c>
    </row>
    <row r="52">
      <c r="A52" s="51"/>
      <c r="B52" s="52"/>
      <c r="C52" s="52"/>
      <c r="D52" s="52" t="s">
        <v>101</v>
      </c>
      <c r="E52" s="54">
        <f t="shared" ref="E52:G52" si="5">sum(E48:E51)</f>
        <v>7</v>
      </c>
      <c r="F52" s="54">
        <f t="shared" si="5"/>
        <v>100</v>
      </c>
      <c r="G52" s="54">
        <f t="shared" si="5"/>
        <v>0</v>
      </c>
      <c r="H52" s="54"/>
      <c r="I52" s="54"/>
      <c r="J52" s="56"/>
    </row>
    <row r="53">
      <c r="A53" s="26" t="s">
        <v>251</v>
      </c>
      <c r="J53" s="26"/>
    </row>
    <row r="54">
      <c r="A54" s="27" t="s">
        <v>977</v>
      </c>
      <c r="J54" s="27"/>
    </row>
    <row r="55">
      <c r="A55" s="28" t="s">
        <v>41</v>
      </c>
      <c r="B55" s="28" t="s">
        <v>42</v>
      </c>
      <c r="C55" s="29" t="s">
        <v>43</v>
      </c>
      <c r="D55" s="28" t="s">
        <v>46</v>
      </c>
      <c r="E55" s="29" t="s">
        <v>47</v>
      </c>
      <c r="F55" s="29" t="s">
        <v>48</v>
      </c>
      <c r="G55" s="29" t="s">
        <v>49</v>
      </c>
      <c r="H55" s="29" t="s">
        <v>50</v>
      </c>
      <c r="I55" s="29" t="s">
        <v>51</v>
      </c>
      <c r="J55" s="29" t="s">
        <v>978</v>
      </c>
    </row>
    <row r="56">
      <c r="A56" s="33" t="s">
        <v>979</v>
      </c>
      <c r="B56" s="27">
        <v>1.303935E7</v>
      </c>
      <c r="C56" s="34" t="b">
        <v>0</v>
      </c>
      <c r="D56" s="27" t="s">
        <v>58</v>
      </c>
      <c r="E56" s="37">
        <v>1.0</v>
      </c>
      <c r="F56" s="37">
        <v>25.0</v>
      </c>
      <c r="G56" s="37"/>
      <c r="H56" s="37" t="s">
        <v>980</v>
      </c>
      <c r="I56" s="37" t="s">
        <v>76</v>
      </c>
      <c r="J56" s="126"/>
    </row>
    <row r="57">
      <c r="A57" s="33" t="s">
        <v>982</v>
      </c>
      <c r="B57" s="27">
        <v>1.30394E7</v>
      </c>
      <c r="C57" s="27" t="b">
        <v>1</v>
      </c>
      <c r="D57" s="27" t="s">
        <v>82</v>
      </c>
      <c r="E57" s="37">
        <v>2.0</v>
      </c>
      <c r="F57" s="37">
        <v>25.0</v>
      </c>
      <c r="G57" s="37"/>
      <c r="H57" s="37" t="s">
        <v>980</v>
      </c>
      <c r="I57" s="37" t="s">
        <v>76</v>
      </c>
      <c r="J57" s="47"/>
    </row>
    <row r="58">
      <c r="A58" s="33" t="s">
        <v>983</v>
      </c>
      <c r="B58" s="27">
        <v>1.30395E7</v>
      </c>
      <c r="C58" s="27" t="b">
        <v>1</v>
      </c>
      <c r="D58" s="27" t="s">
        <v>96</v>
      </c>
      <c r="E58" s="37">
        <v>2.0</v>
      </c>
      <c r="F58" s="37">
        <v>25.0</v>
      </c>
      <c r="G58" s="37"/>
      <c r="H58" s="37" t="s">
        <v>985</v>
      </c>
      <c r="I58" s="37" t="s">
        <v>88</v>
      </c>
      <c r="J58" s="42" t="s">
        <v>986</v>
      </c>
    </row>
    <row r="59">
      <c r="A59" s="33" t="s">
        <v>975</v>
      </c>
      <c r="B59" s="27">
        <v>1.304045E7</v>
      </c>
      <c r="C59" s="27" t="b">
        <v>1</v>
      </c>
      <c r="D59" s="27" t="s">
        <v>96</v>
      </c>
      <c r="E59" s="37">
        <v>2.0</v>
      </c>
      <c r="F59" s="37">
        <v>25.0</v>
      </c>
      <c r="G59" s="37"/>
      <c r="H59" s="37" t="s">
        <v>985</v>
      </c>
      <c r="I59" s="37" t="s">
        <v>88</v>
      </c>
      <c r="J59" s="42"/>
    </row>
    <row r="60">
      <c r="A60" s="51"/>
      <c r="B60" s="52"/>
      <c r="C60" s="52"/>
      <c r="D60" s="52" t="s">
        <v>101</v>
      </c>
      <c r="E60" s="54">
        <f t="shared" ref="E60:G60" si="6">sum(E56:E59)</f>
        <v>7</v>
      </c>
      <c r="F60" s="54">
        <f t="shared" si="6"/>
        <v>100</v>
      </c>
      <c r="G60" s="54">
        <f t="shared" si="6"/>
        <v>0</v>
      </c>
      <c r="H60" s="54"/>
      <c r="I60" s="54"/>
      <c r="J60" s="56"/>
    </row>
    <row r="61">
      <c r="A61" s="26" t="s">
        <v>205</v>
      </c>
      <c r="J61" s="26"/>
    </row>
    <row r="62">
      <c r="A62" s="27" t="s">
        <v>991</v>
      </c>
      <c r="J62" s="27"/>
    </row>
    <row r="63">
      <c r="A63" s="28" t="s">
        <v>41</v>
      </c>
      <c r="B63" s="28" t="s">
        <v>42</v>
      </c>
      <c r="C63" s="29" t="s">
        <v>43</v>
      </c>
      <c r="D63" s="28" t="s">
        <v>46</v>
      </c>
      <c r="E63" s="29" t="s">
        <v>47</v>
      </c>
      <c r="F63" s="29" t="s">
        <v>48</v>
      </c>
      <c r="G63" s="29" t="s">
        <v>49</v>
      </c>
      <c r="H63" s="29" t="s">
        <v>50</v>
      </c>
      <c r="I63" s="29" t="s">
        <v>51</v>
      </c>
      <c r="J63" s="29" t="s">
        <v>994</v>
      </c>
    </row>
    <row r="64">
      <c r="A64" s="33" t="s">
        <v>996</v>
      </c>
      <c r="B64" s="27">
        <v>1.30002E7</v>
      </c>
      <c r="C64" s="34" t="b">
        <v>0</v>
      </c>
      <c r="D64" s="27" t="s">
        <v>58</v>
      </c>
      <c r="E64" s="37">
        <v>1.0</v>
      </c>
      <c r="F64" s="37">
        <v>125.0</v>
      </c>
      <c r="G64" s="37"/>
      <c r="H64" s="37" t="s">
        <v>1000</v>
      </c>
      <c r="I64" s="37" t="s">
        <v>1001</v>
      </c>
      <c r="J64" s="45" t="s">
        <v>1002</v>
      </c>
    </row>
    <row r="65">
      <c r="A65" s="33" t="s">
        <v>1003</v>
      </c>
      <c r="B65" s="27">
        <v>1.300205E7</v>
      </c>
      <c r="C65" s="34" t="b">
        <v>0</v>
      </c>
      <c r="D65" s="27" t="s">
        <v>71</v>
      </c>
      <c r="E65" s="37">
        <v>1.0</v>
      </c>
      <c r="F65" s="37">
        <v>25.0</v>
      </c>
      <c r="G65" s="37"/>
      <c r="H65" s="37" t="s">
        <v>1005</v>
      </c>
      <c r="I65" s="37" t="s">
        <v>1001</v>
      </c>
      <c r="J65" s="41"/>
    </row>
    <row r="66">
      <c r="A66" s="33" t="s">
        <v>991</v>
      </c>
      <c r="B66" s="27">
        <v>1.30018E7</v>
      </c>
      <c r="C66" s="34" t="b">
        <v>0</v>
      </c>
      <c r="D66" s="27" t="s">
        <v>71</v>
      </c>
      <c r="E66" s="37">
        <v>1.0</v>
      </c>
      <c r="F66" s="37">
        <v>100.0</v>
      </c>
      <c r="G66" s="37"/>
      <c r="H66" s="37" t="s">
        <v>1008</v>
      </c>
      <c r="I66" s="37" t="s">
        <v>1009</v>
      </c>
      <c r="J66" s="336" t="s">
        <v>1010</v>
      </c>
    </row>
    <row r="67">
      <c r="A67" s="33" t="s">
        <v>1011</v>
      </c>
      <c r="B67" s="27">
        <v>1.30025E7</v>
      </c>
      <c r="C67" s="27" t="b">
        <v>0</v>
      </c>
      <c r="D67" s="27" t="s">
        <v>82</v>
      </c>
      <c r="E67" s="37">
        <v>2.0</v>
      </c>
      <c r="F67" s="37">
        <v>50.0</v>
      </c>
      <c r="G67" s="37"/>
      <c r="H67" s="37" t="s">
        <v>1008</v>
      </c>
      <c r="I67" s="37" t="s">
        <v>1009</v>
      </c>
      <c r="J67" s="41"/>
    </row>
    <row r="68">
      <c r="A68" s="33" t="s">
        <v>1013</v>
      </c>
      <c r="B68" s="27">
        <v>1.300251E7</v>
      </c>
      <c r="C68" s="34" t="b">
        <v>0</v>
      </c>
      <c r="D68" s="27" t="s">
        <v>96</v>
      </c>
      <c r="E68" s="37">
        <v>2.0</v>
      </c>
      <c r="F68" s="37">
        <v>25.0</v>
      </c>
      <c r="G68" s="37"/>
      <c r="H68" s="37" t="s">
        <v>1008</v>
      </c>
      <c r="I68" s="37" t="s">
        <v>1009</v>
      </c>
      <c r="J68" s="336" t="s">
        <v>1014</v>
      </c>
    </row>
    <row r="69">
      <c r="A69" s="51"/>
      <c r="B69" s="52"/>
      <c r="C69" s="52"/>
      <c r="D69" s="52" t="s">
        <v>101</v>
      </c>
      <c r="E69" s="54">
        <f t="shared" ref="E69:G69" si="7">sum(E64:E68)</f>
        <v>7</v>
      </c>
      <c r="F69" s="54">
        <f t="shared" si="7"/>
        <v>325</v>
      </c>
      <c r="G69" s="54">
        <f t="shared" si="7"/>
        <v>0</v>
      </c>
      <c r="H69" s="54"/>
      <c r="I69" s="54"/>
      <c r="J69" s="56"/>
    </row>
    <row r="70">
      <c r="A70" s="26" t="s">
        <v>205</v>
      </c>
      <c r="J70" s="26"/>
    </row>
    <row r="71">
      <c r="A71" s="27" t="s">
        <v>1016</v>
      </c>
      <c r="J71" s="27"/>
    </row>
    <row r="72">
      <c r="A72" s="28" t="s">
        <v>41</v>
      </c>
      <c r="B72" s="28" t="s">
        <v>42</v>
      </c>
      <c r="C72" s="29" t="s">
        <v>43</v>
      </c>
      <c r="D72" s="28" t="s">
        <v>46</v>
      </c>
      <c r="E72" s="29" t="s">
        <v>47</v>
      </c>
      <c r="F72" s="29" t="s">
        <v>48</v>
      </c>
      <c r="G72" s="29" t="s">
        <v>49</v>
      </c>
      <c r="H72" s="29" t="s">
        <v>50</v>
      </c>
      <c r="I72" s="29" t="s">
        <v>51</v>
      </c>
      <c r="J72" s="29" t="s">
        <v>1018</v>
      </c>
    </row>
    <row r="73">
      <c r="A73" s="33" t="s">
        <v>959</v>
      </c>
      <c r="B73" s="27">
        <v>1.300421E7</v>
      </c>
      <c r="C73" s="34" t="b">
        <v>0</v>
      </c>
      <c r="D73" s="27" t="s">
        <v>58</v>
      </c>
      <c r="E73" s="37">
        <v>1.0</v>
      </c>
      <c r="F73" s="37">
        <v>125.0</v>
      </c>
      <c r="G73" s="37"/>
      <c r="H73" s="37" t="s">
        <v>1019</v>
      </c>
      <c r="I73" s="37" t="s">
        <v>88</v>
      </c>
      <c r="J73" s="45" t="s">
        <v>1020</v>
      </c>
    </row>
    <row r="74">
      <c r="A74" s="33" t="s">
        <v>1022</v>
      </c>
      <c r="B74" s="27">
        <v>1.30043E7</v>
      </c>
      <c r="C74" s="27" t="b">
        <v>1</v>
      </c>
      <c r="D74" s="27" t="s">
        <v>71</v>
      </c>
      <c r="E74" s="37">
        <v>1.0</v>
      </c>
      <c r="F74" s="37">
        <v>20.0</v>
      </c>
      <c r="G74" s="37"/>
      <c r="H74" s="37" t="s">
        <v>1019</v>
      </c>
      <c r="I74" s="37" t="s">
        <v>88</v>
      </c>
      <c r="J74" s="75" t="s">
        <v>1026</v>
      </c>
    </row>
    <row r="75">
      <c r="A75" s="33" t="s">
        <v>1027</v>
      </c>
      <c r="B75" s="27" t="s">
        <v>1028</v>
      </c>
      <c r="C75" s="34" t="b">
        <v>0</v>
      </c>
      <c r="D75" s="27" t="s">
        <v>71</v>
      </c>
      <c r="E75" s="37">
        <v>1.0</v>
      </c>
      <c r="F75" s="37">
        <v>20.0</v>
      </c>
      <c r="G75" s="37"/>
      <c r="H75" s="37" t="s">
        <v>1019</v>
      </c>
      <c r="I75" s="37" t="s">
        <v>88</v>
      </c>
      <c r="J75" s="75" t="s">
        <v>1026</v>
      </c>
    </row>
    <row r="76">
      <c r="A76" s="33" t="s">
        <v>1032</v>
      </c>
      <c r="B76" s="27">
        <v>1.30044E7</v>
      </c>
      <c r="C76" s="27" t="b">
        <v>1</v>
      </c>
      <c r="D76" s="27" t="s">
        <v>82</v>
      </c>
      <c r="E76" s="37">
        <v>2.0</v>
      </c>
      <c r="F76" s="37">
        <v>20.0</v>
      </c>
      <c r="G76" s="37"/>
      <c r="H76" s="37" t="s">
        <v>1019</v>
      </c>
      <c r="I76" s="37" t="s">
        <v>88</v>
      </c>
      <c r="J76" s="222" t="s">
        <v>639</v>
      </c>
    </row>
    <row r="77">
      <c r="A77" s="51"/>
      <c r="B77" s="52"/>
      <c r="C77" s="52"/>
      <c r="D77" s="52" t="s">
        <v>101</v>
      </c>
      <c r="E77" s="54">
        <f t="shared" ref="E77:G77" si="8">sum(E73:E76)</f>
        <v>5</v>
      </c>
      <c r="F77" s="54">
        <f t="shared" si="8"/>
        <v>185</v>
      </c>
      <c r="G77" s="54">
        <f t="shared" si="8"/>
        <v>0</v>
      </c>
      <c r="H77" s="54"/>
      <c r="I77" s="54"/>
      <c r="J77" s="56"/>
    </row>
    <row r="78">
      <c r="A78" s="26" t="s">
        <v>205</v>
      </c>
      <c r="J78" s="26"/>
    </row>
    <row r="79">
      <c r="A79" s="27" t="s">
        <v>1039</v>
      </c>
      <c r="J79" s="27"/>
    </row>
    <row r="80">
      <c r="A80" s="28" t="s">
        <v>41</v>
      </c>
      <c r="B80" s="28" t="s">
        <v>42</v>
      </c>
      <c r="C80" s="29" t="s">
        <v>43</v>
      </c>
      <c r="D80" s="28" t="s">
        <v>46</v>
      </c>
      <c r="E80" s="29" t="s">
        <v>47</v>
      </c>
      <c r="F80" s="29" t="s">
        <v>48</v>
      </c>
      <c r="G80" s="29" t="s">
        <v>49</v>
      </c>
      <c r="H80" s="29" t="s">
        <v>50</v>
      </c>
      <c r="I80" s="29" t="s">
        <v>51</v>
      </c>
      <c r="J80" s="29" t="s">
        <v>1042</v>
      </c>
    </row>
    <row r="81">
      <c r="A81" s="33" t="s">
        <v>1043</v>
      </c>
      <c r="B81" s="27">
        <v>1.30082E7</v>
      </c>
      <c r="C81" s="34" t="b">
        <v>0</v>
      </c>
      <c r="D81" s="27" t="s">
        <v>58</v>
      </c>
      <c r="E81" s="37">
        <v>1.0</v>
      </c>
      <c r="F81" s="37">
        <v>150.0</v>
      </c>
      <c r="G81" s="37"/>
      <c r="H81" s="85" t="s">
        <v>1044</v>
      </c>
      <c r="I81" s="85" t="s">
        <v>1045</v>
      </c>
      <c r="J81" s="41"/>
    </row>
    <row r="82">
      <c r="A82" s="33" t="s">
        <v>1047</v>
      </c>
      <c r="B82" s="27">
        <v>1.30093E7</v>
      </c>
      <c r="C82" s="34" t="b">
        <v>0</v>
      </c>
      <c r="D82" s="27" t="s">
        <v>71</v>
      </c>
      <c r="E82" s="37">
        <v>1.0</v>
      </c>
      <c r="F82" s="37">
        <v>25.0</v>
      </c>
      <c r="G82" s="37"/>
      <c r="H82" s="85" t="s">
        <v>1048</v>
      </c>
      <c r="I82" s="85" t="s">
        <v>88</v>
      </c>
      <c r="J82" s="41"/>
    </row>
    <row r="83">
      <c r="A83" s="33" t="s">
        <v>1050</v>
      </c>
      <c r="B83" s="27">
        <v>1.300941E7</v>
      </c>
      <c r="C83" s="27" t="b">
        <v>1</v>
      </c>
      <c r="D83" s="27" t="s">
        <v>82</v>
      </c>
      <c r="E83" s="37">
        <v>2.0</v>
      </c>
      <c r="F83" s="37">
        <v>25.0</v>
      </c>
      <c r="G83" s="37"/>
      <c r="H83" s="85" t="s">
        <v>1048</v>
      </c>
      <c r="I83" s="85" t="s">
        <v>88</v>
      </c>
      <c r="J83" s="67" t="s">
        <v>1051</v>
      </c>
    </row>
    <row r="84">
      <c r="A84" s="33" t="s">
        <v>1052</v>
      </c>
      <c r="B84" s="27"/>
      <c r="C84" s="27" t="b">
        <v>0</v>
      </c>
      <c r="D84" s="27" t="s">
        <v>96</v>
      </c>
      <c r="E84" s="37">
        <v>2.0</v>
      </c>
      <c r="F84" s="37"/>
      <c r="G84" s="37"/>
      <c r="H84" s="85" t="s">
        <v>1048</v>
      </c>
      <c r="I84" s="85" t="s">
        <v>88</v>
      </c>
      <c r="J84" s="67"/>
    </row>
    <row r="85">
      <c r="A85" s="33" t="s">
        <v>1056</v>
      </c>
      <c r="B85" s="27">
        <v>1.30095E7</v>
      </c>
      <c r="C85" s="34" t="b">
        <v>0</v>
      </c>
      <c r="D85" s="27" t="s">
        <v>96</v>
      </c>
      <c r="E85" s="37">
        <v>3.0</v>
      </c>
      <c r="F85" s="37">
        <v>25.0</v>
      </c>
      <c r="G85" s="37"/>
      <c r="H85" s="85" t="s">
        <v>1048</v>
      </c>
      <c r="I85" s="85" t="s">
        <v>88</v>
      </c>
      <c r="J85" s="41"/>
    </row>
    <row r="86">
      <c r="A86" s="51"/>
      <c r="B86" s="52"/>
      <c r="C86" s="52"/>
      <c r="D86" s="52" t="s">
        <v>101</v>
      </c>
      <c r="E86" s="54">
        <f t="shared" ref="E86:G86" si="9">sum(E81:E85)</f>
        <v>9</v>
      </c>
      <c r="F86" s="54">
        <f t="shared" si="9"/>
        <v>225</v>
      </c>
      <c r="G86" s="54">
        <f t="shared" si="9"/>
        <v>0</v>
      </c>
      <c r="H86" s="54"/>
      <c r="I86" s="54"/>
      <c r="J86" s="56"/>
    </row>
    <row r="87">
      <c r="A87" s="26" t="s">
        <v>205</v>
      </c>
      <c r="J87" s="26"/>
    </row>
    <row r="88">
      <c r="A88" s="27" t="s">
        <v>1058</v>
      </c>
      <c r="J88" s="27"/>
    </row>
    <row r="89">
      <c r="A89" s="28" t="s">
        <v>41</v>
      </c>
      <c r="B89" s="28" t="s">
        <v>42</v>
      </c>
      <c r="C89" s="29" t="s">
        <v>43</v>
      </c>
      <c r="D89" s="28" t="s">
        <v>46</v>
      </c>
      <c r="E89" s="29" t="s">
        <v>47</v>
      </c>
      <c r="F89" s="29" t="s">
        <v>48</v>
      </c>
      <c r="G89" s="29" t="s">
        <v>49</v>
      </c>
      <c r="H89" s="29" t="s">
        <v>50</v>
      </c>
      <c r="I89" s="29" t="s">
        <v>51</v>
      </c>
      <c r="J89" s="29" t="s">
        <v>1059</v>
      </c>
    </row>
    <row r="90">
      <c r="A90" s="33" t="s">
        <v>55</v>
      </c>
      <c r="B90" s="27">
        <v>1.303955E7</v>
      </c>
      <c r="C90" s="34" t="b">
        <v>0</v>
      </c>
      <c r="D90" s="27" t="s">
        <v>58</v>
      </c>
      <c r="E90" s="37">
        <v>1.0</v>
      </c>
      <c r="F90" s="37">
        <v>50.0</v>
      </c>
      <c r="G90" s="37"/>
      <c r="H90" s="37" t="s">
        <v>1060</v>
      </c>
      <c r="I90" s="37" t="s">
        <v>670</v>
      </c>
      <c r="J90" s="42" t="s">
        <v>65</v>
      </c>
    </row>
    <row r="91">
      <c r="A91" s="33" t="s">
        <v>69</v>
      </c>
      <c r="B91" s="27">
        <v>1.30396E7</v>
      </c>
      <c r="C91" s="27" t="b">
        <v>1</v>
      </c>
      <c r="D91" s="27" t="s">
        <v>71</v>
      </c>
      <c r="E91" s="37">
        <v>2.0</v>
      </c>
      <c r="F91" s="76"/>
      <c r="G91" s="76"/>
      <c r="H91" s="37" t="s">
        <v>1062</v>
      </c>
      <c r="I91" s="37" t="s">
        <v>76</v>
      </c>
      <c r="J91" s="343" t="s">
        <v>77</v>
      </c>
    </row>
    <row r="92">
      <c r="A92" s="33" t="s">
        <v>80</v>
      </c>
      <c r="B92" s="27">
        <v>1.30397E7</v>
      </c>
      <c r="C92" s="27" t="b">
        <v>1</v>
      </c>
      <c r="D92" s="27" t="s">
        <v>82</v>
      </c>
      <c r="E92" s="37">
        <v>2.0</v>
      </c>
      <c r="F92" s="37"/>
      <c r="G92" s="37"/>
      <c r="H92" s="37" t="s">
        <v>1063</v>
      </c>
      <c r="I92" s="37" t="s">
        <v>670</v>
      </c>
      <c r="J92" s="42" t="s">
        <v>90</v>
      </c>
    </row>
    <row r="93">
      <c r="A93" s="33" t="s">
        <v>92</v>
      </c>
      <c r="B93" s="27">
        <v>1.3040455E7</v>
      </c>
      <c r="C93" s="27" t="b">
        <v>1</v>
      </c>
      <c r="D93" s="27" t="s">
        <v>96</v>
      </c>
      <c r="E93" s="76"/>
      <c r="F93" s="76"/>
      <c r="G93" s="76"/>
      <c r="H93" s="37" t="s">
        <v>1063</v>
      </c>
      <c r="I93" s="37" t="s">
        <v>670</v>
      </c>
      <c r="J93" s="42" t="s">
        <v>90</v>
      </c>
    </row>
    <row r="94">
      <c r="A94" s="51"/>
      <c r="B94" s="52"/>
      <c r="C94" s="52"/>
      <c r="D94" s="52" t="s">
        <v>101</v>
      </c>
      <c r="E94" s="54">
        <f t="shared" ref="E94:G94" si="10">sum(E90:E93)</f>
        <v>5</v>
      </c>
      <c r="F94" s="54">
        <f t="shared" si="10"/>
        <v>50</v>
      </c>
      <c r="G94" s="54">
        <f t="shared" si="10"/>
        <v>0</v>
      </c>
      <c r="H94" s="54"/>
      <c r="I94" s="54"/>
      <c r="J94" s="56"/>
    </row>
    <row r="95">
      <c r="A95" s="26" t="s">
        <v>205</v>
      </c>
      <c r="J95" s="26"/>
    </row>
    <row r="96">
      <c r="A96" s="27" t="s">
        <v>1064</v>
      </c>
      <c r="J96" s="27"/>
    </row>
    <row r="97">
      <c r="A97" s="28" t="s">
        <v>41</v>
      </c>
      <c r="B97" s="28" t="s">
        <v>42</v>
      </c>
      <c r="C97" s="29" t="s">
        <v>43</v>
      </c>
      <c r="D97" s="28" t="s">
        <v>46</v>
      </c>
      <c r="E97" s="29" t="s">
        <v>47</v>
      </c>
      <c r="F97" s="29" t="s">
        <v>48</v>
      </c>
      <c r="G97" s="29" t="s">
        <v>49</v>
      </c>
      <c r="H97" s="29" t="s">
        <v>50</v>
      </c>
      <c r="I97" s="29" t="s">
        <v>51</v>
      </c>
      <c r="J97" s="29" t="s">
        <v>1066</v>
      </c>
    </row>
    <row r="98">
      <c r="A98" s="33" t="s">
        <v>1068</v>
      </c>
      <c r="B98" s="27"/>
      <c r="C98" s="34" t="b">
        <v>0</v>
      </c>
      <c r="D98" s="27" t="s">
        <v>58</v>
      </c>
      <c r="E98" s="37">
        <v>1.0</v>
      </c>
      <c r="F98" s="37"/>
      <c r="G98" s="37"/>
      <c r="H98" s="37" t="s">
        <v>1069</v>
      </c>
      <c r="I98" s="37" t="s">
        <v>670</v>
      </c>
      <c r="J98" s="41"/>
    </row>
    <row r="99">
      <c r="A99" s="33" t="s">
        <v>1070</v>
      </c>
      <c r="B99" s="27">
        <v>1.300422E7</v>
      </c>
      <c r="C99" s="34" t="b">
        <v>0</v>
      </c>
      <c r="D99" s="27" t="s">
        <v>58</v>
      </c>
      <c r="E99" s="37">
        <v>1.0</v>
      </c>
      <c r="F99" s="37"/>
      <c r="G99" s="37"/>
      <c r="H99" s="37" t="s">
        <v>1069</v>
      </c>
      <c r="I99" s="37" t="s">
        <v>670</v>
      </c>
      <c r="J99" s="41"/>
    </row>
    <row r="100">
      <c r="A100" s="33" t="s">
        <v>1071</v>
      </c>
      <c r="B100" s="34"/>
      <c r="C100" s="27" t="b">
        <v>1</v>
      </c>
      <c r="D100" s="27" t="s">
        <v>71</v>
      </c>
      <c r="E100" s="37">
        <v>2.0</v>
      </c>
      <c r="F100" s="37"/>
      <c r="G100" s="37"/>
      <c r="H100" s="37" t="s">
        <v>1069</v>
      </c>
      <c r="I100" s="37" t="s">
        <v>670</v>
      </c>
      <c r="J100" s="45" t="s">
        <v>1072</v>
      </c>
    </row>
    <row r="101">
      <c r="A101" s="33" t="s">
        <v>1073</v>
      </c>
      <c r="B101" s="34"/>
      <c r="C101" s="27" t="b">
        <v>1</v>
      </c>
      <c r="D101" s="27" t="s">
        <v>82</v>
      </c>
      <c r="E101" s="37">
        <v>2.0</v>
      </c>
      <c r="F101" s="76"/>
      <c r="G101" s="76"/>
      <c r="H101" s="37" t="s">
        <v>1069</v>
      </c>
      <c r="I101" s="37" t="s">
        <v>670</v>
      </c>
      <c r="J101" s="45" t="s">
        <v>1072</v>
      </c>
    </row>
    <row r="102">
      <c r="A102" s="51"/>
      <c r="B102" s="52"/>
      <c r="C102" s="52"/>
      <c r="D102" s="52" t="s">
        <v>101</v>
      </c>
      <c r="E102" s="54">
        <f t="shared" ref="E102:G102" si="11">sum(E98:E101)</f>
        <v>6</v>
      </c>
      <c r="F102" s="54">
        <f t="shared" si="11"/>
        <v>0</v>
      </c>
      <c r="G102" s="54">
        <f t="shared" si="11"/>
        <v>0</v>
      </c>
      <c r="H102" s="54"/>
      <c r="I102" s="54"/>
      <c r="J102" s="348"/>
    </row>
    <row r="103">
      <c r="A103" s="26" t="s">
        <v>205</v>
      </c>
      <c r="J103" s="26"/>
    </row>
    <row r="104">
      <c r="A104" s="27" t="s">
        <v>1076</v>
      </c>
      <c r="J104" s="27"/>
    </row>
    <row r="105">
      <c r="A105" s="28" t="s">
        <v>41</v>
      </c>
      <c r="B105" s="28" t="s">
        <v>42</v>
      </c>
      <c r="C105" s="29" t="s">
        <v>43</v>
      </c>
      <c r="D105" s="28" t="s">
        <v>46</v>
      </c>
      <c r="E105" s="29" t="s">
        <v>47</v>
      </c>
      <c r="F105" s="29" t="s">
        <v>48</v>
      </c>
      <c r="G105" s="29" t="s">
        <v>49</v>
      </c>
      <c r="H105" s="29" t="s">
        <v>50</v>
      </c>
      <c r="I105" s="29" t="s">
        <v>51</v>
      </c>
      <c r="J105" s="29" t="s">
        <v>1078</v>
      </c>
    </row>
    <row r="106">
      <c r="A106" s="33" t="s">
        <v>996</v>
      </c>
      <c r="B106" s="27">
        <v>1.30002E7</v>
      </c>
      <c r="C106" s="34" t="b">
        <v>0</v>
      </c>
      <c r="D106" s="27" t="s">
        <v>58</v>
      </c>
      <c r="E106" s="37">
        <v>1.0</v>
      </c>
      <c r="F106" s="37">
        <v>125.0</v>
      </c>
      <c r="G106" s="37"/>
      <c r="H106" s="37" t="s">
        <v>1080</v>
      </c>
      <c r="I106" s="37" t="s">
        <v>1001</v>
      </c>
      <c r="J106" s="45" t="s">
        <v>1002</v>
      </c>
    </row>
    <row r="107">
      <c r="A107" s="33" t="s">
        <v>1003</v>
      </c>
      <c r="B107" s="27">
        <v>1.300205E7</v>
      </c>
      <c r="C107" s="34" t="b">
        <v>0</v>
      </c>
      <c r="D107" s="27" t="s">
        <v>71</v>
      </c>
      <c r="E107" s="37">
        <v>1.0</v>
      </c>
      <c r="F107" s="37">
        <v>25.0</v>
      </c>
      <c r="G107" s="37"/>
      <c r="H107" s="66" t="s">
        <v>1080</v>
      </c>
      <c r="I107" s="37" t="s">
        <v>1001</v>
      </c>
      <c r="J107" s="41"/>
    </row>
    <row r="108">
      <c r="A108" s="33" t="s">
        <v>991</v>
      </c>
      <c r="B108" s="27">
        <v>1.30018E7</v>
      </c>
      <c r="C108" s="34" t="b">
        <v>0</v>
      </c>
      <c r="D108" s="27" t="s">
        <v>71</v>
      </c>
      <c r="E108" s="37">
        <v>1.0</v>
      </c>
      <c r="F108" s="37">
        <v>100.0</v>
      </c>
      <c r="G108" s="37"/>
      <c r="H108" s="37" t="s">
        <v>1083</v>
      </c>
      <c r="I108" s="37" t="s">
        <v>1001</v>
      </c>
      <c r="J108" s="336" t="s">
        <v>1010</v>
      </c>
    </row>
    <row r="109">
      <c r="A109" s="33" t="s">
        <v>1086</v>
      </c>
      <c r="B109" s="27">
        <v>1.30021E7</v>
      </c>
      <c r="C109" s="34" t="b">
        <v>0</v>
      </c>
      <c r="D109" s="27" t="s">
        <v>82</v>
      </c>
      <c r="E109" s="37">
        <v>1.0</v>
      </c>
      <c r="F109" s="37">
        <v>25.0</v>
      </c>
      <c r="G109" s="37"/>
      <c r="H109" s="37" t="s">
        <v>1083</v>
      </c>
      <c r="I109" s="37" t="s">
        <v>1001</v>
      </c>
      <c r="J109" s="41"/>
    </row>
    <row r="110">
      <c r="A110" s="33" t="s">
        <v>1088</v>
      </c>
      <c r="B110" s="27">
        <v>1.30025E7</v>
      </c>
      <c r="C110" s="34" t="b">
        <v>0</v>
      </c>
      <c r="D110" s="27" t="s">
        <v>96</v>
      </c>
      <c r="E110" s="37">
        <v>2.0</v>
      </c>
      <c r="F110" s="37">
        <v>50.0</v>
      </c>
      <c r="G110" s="37"/>
      <c r="H110" s="37" t="s">
        <v>1083</v>
      </c>
      <c r="I110" s="37" t="s">
        <v>1001</v>
      </c>
      <c r="J110" s="274"/>
    </row>
    <row r="111">
      <c r="A111" s="51"/>
      <c r="B111" s="52"/>
      <c r="C111" s="52"/>
      <c r="D111" s="52" t="s">
        <v>101</v>
      </c>
      <c r="E111" s="54">
        <f t="shared" ref="E111:G111" si="12">sum(E106:E110)</f>
        <v>6</v>
      </c>
      <c r="F111" s="54">
        <f t="shared" si="12"/>
        <v>325</v>
      </c>
      <c r="G111" s="54">
        <f t="shared" si="12"/>
        <v>0</v>
      </c>
      <c r="H111" s="54"/>
      <c r="I111" s="54"/>
      <c r="J111" s="56"/>
    </row>
    <row r="112">
      <c r="A112" s="26" t="s">
        <v>205</v>
      </c>
      <c r="J112" s="26"/>
    </row>
    <row r="113">
      <c r="A113" s="27" t="s">
        <v>1093</v>
      </c>
      <c r="J113" s="27"/>
    </row>
    <row r="114">
      <c r="A114" s="28" t="s">
        <v>41</v>
      </c>
      <c r="B114" s="28" t="s">
        <v>42</v>
      </c>
      <c r="C114" s="29" t="s">
        <v>43</v>
      </c>
      <c r="D114" s="28" t="s">
        <v>46</v>
      </c>
      <c r="E114" s="29" t="s">
        <v>47</v>
      </c>
      <c r="F114" s="29" t="s">
        <v>48</v>
      </c>
      <c r="G114" s="29" t="s">
        <v>49</v>
      </c>
      <c r="H114" s="29" t="s">
        <v>50</v>
      </c>
      <c r="I114" s="29" t="s">
        <v>51</v>
      </c>
      <c r="J114" s="29" t="s">
        <v>1095</v>
      </c>
    </row>
    <row r="115">
      <c r="A115" s="33" t="s">
        <v>1097</v>
      </c>
      <c r="B115" s="27">
        <v>1.30082E7</v>
      </c>
      <c r="C115" s="34" t="b">
        <v>0</v>
      </c>
      <c r="D115" s="27" t="s">
        <v>58</v>
      </c>
      <c r="E115" s="37">
        <v>1.0</v>
      </c>
      <c r="F115" s="37">
        <v>150.0</v>
      </c>
      <c r="G115" s="37"/>
      <c r="H115" s="85" t="s">
        <v>1100</v>
      </c>
      <c r="I115" s="85" t="s">
        <v>572</v>
      </c>
      <c r="J115" s="41"/>
    </row>
    <row r="116">
      <c r="A116" s="33" t="s">
        <v>1101</v>
      </c>
      <c r="B116" s="27">
        <v>3580610.0</v>
      </c>
      <c r="C116" s="34" t="b">
        <v>0</v>
      </c>
      <c r="D116" s="27" t="s">
        <v>58</v>
      </c>
      <c r="E116" s="37">
        <v>1.0</v>
      </c>
      <c r="F116" s="37">
        <v>25.0</v>
      </c>
      <c r="G116" s="37"/>
      <c r="H116" s="85" t="s">
        <v>1100</v>
      </c>
      <c r="I116" s="85" t="s">
        <v>572</v>
      </c>
      <c r="J116" s="41"/>
    </row>
    <row r="117">
      <c r="A117" s="33" t="s">
        <v>1103</v>
      </c>
      <c r="B117" s="27">
        <v>1.300851E7</v>
      </c>
      <c r="C117" s="34" t="b">
        <v>0</v>
      </c>
      <c r="D117" s="27" t="s">
        <v>71</v>
      </c>
      <c r="E117" s="37">
        <v>2.0</v>
      </c>
      <c r="F117" s="37">
        <v>25.0</v>
      </c>
      <c r="G117" s="37"/>
      <c r="H117" s="85" t="s">
        <v>1106</v>
      </c>
      <c r="I117" s="85" t="s">
        <v>785</v>
      </c>
      <c r="J117" s="41"/>
    </row>
    <row r="118">
      <c r="A118" s="33" t="s">
        <v>1107</v>
      </c>
      <c r="B118" s="27">
        <v>1.300995E7</v>
      </c>
      <c r="C118" s="34" t="b">
        <v>0</v>
      </c>
      <c r="D118" s="27" t="s">
        <v>71</v>
      </c>
      <c r="E118" s="37">
        <v>1.0</v>
      </c>
      <c r="F118" s="37">
        <v>25.0</v>
      </c>
      <c r="G118" s="37"/>
      <c r="H118" s="85" t="s">
        <v>1111</v>
      </c>
      <c r="I118" s="85" t="s">
        <v>785</v>
      </c>
      <c r="J118" s="41"/>
    </row>
    <row r="119">
      <c r="A119" s="33" t="s">
        <v>1112</v>
      </c>
      <c r="B119" s="27">
        <v>1.300861E7</v>
      </c>
      <c r="C119" s="27" t="b">
        <v>1</v>
      </c>
      <c r="D119" s="27" t="s">
        <v>82</v>
      </c>
      <c r="E119" s="37">
        <v>2.0</v>
      </c>
      <c r="F119" s="37">
        <v>25.0</v>
      </c>
      <c r="G119" s="37"/>
      <c r="H119" s="85" t="s">
        <v>1106</v>
      </c>
      <c r="I119" s="85" t="s">
        <v>785</v>
      </c>
      <c r="J119" s="41"/>
    </row>
    <row r="120">
      <c r="A120" s="33" t="s">
        <v>1113</v>
      </c>
      <c r="B120" s="27">
        <v>1.300996E7</v>
      </c>
      <c r="C120" s="27" t="b">
        <v>1</v>
      </c>
      <c r="D120" s="27" t="s">
        <v>82</v>
      </c>
      <c r="E120" s="37">
        <v>1.0</v>
      </c>
      <c r="F120" s="37">
        <v>25.0</v>
      </c>
      <c r="G120" s="37"/>
      <c r="H120" s="85" t="s">
        <v>1111</v>
      </c>
      <c r="I120" s="85" t="s">
        <v>785</v>
      </c>
      <c r="J120" s="45" t="s">
        <v>137</v>
      </c>
    </row>
    <row r="121">
      <c r="A121" s="33" t="s">
        <v>393</v>
      </c>
      <c r="B121" s="27">
        <v>1.3008705E7</v>
      </c>
      <c r="C121" s="27" t="b">
        <v>1</v>
      </c>
      <c r="D121" s="27" t="s">
        <v>96</v>
      </c>
      <c r="E121" s="37">
        <v>2.0</v>
      </c>
      <c r="F121" s="37">
        <v>25.0</v>
      </c>
      <c r="G121" s="37"/>
      <c r="H121" s="85" t="s">
        <v>1100</v>
      </c>
      <c r="I121" s="85" t="s">
        <v>572</v>
      </c>
      <c r="J121" s="45"/>
    </row>
    <row r="122">
      <c r="A122" s="51"/>
      <c r="B122" s="52"/>
      <c r="C122" s="52"/>
      <c r="D122" s="52" t="s">
        <v>101</v>
      </c>
      <c r="E122" s="54">
        <f t="shared" ref="E122:G122" si="13">sum(E115:E121)</f>
        <v>10</v>
      </c>
      <c r="F122" s="54">
        <f t="shared" si="13"/>
        <v>300</v>
      </c>
      <c r="G122" s="54">
        <f t="shared" si="13"/>
        <v>0</v>
      </c>
      <c r="H122" s="54"/>
      <c r="I122" s="54"/>
      <c r="J122" s="56"/>
    </row>
    <row r="123">
      <c r="A123" s="26" t="s">
        <v>205</v>
      </c>
      <c r="J123" s="26"/>
    </row>
    <row r="124">
      <c r="A124" s="33" t="s">
        <v>1116</v>
      </c>
      <c r="J124" s="33"/>
    </row>
    <row r="125">
      <c r="A125" s="28" t="s">
        <v>41</v>
      </c>
      <c r="B125" s="28" t="s">
        <v>42</v>
      </c>
      <c r="C125" s="29" t="s">
        <v>43</v>
      </c>
      <c r="D125" s="28" t="s">
        <v>46</v>
      </c>
      <c r="E125" s="29" t="s">
        <v>47</v>
      </c>
      <c r="F125" s="29" t="s">
        <v>48</v>
      </c>
      <c r="G125" s="29" t="s">
        <v>49</v>
      </c>
      <c r="H125" s="29" t="s">
        <v>50</v>
      </c>
      <c r="I125" s="29" t="s">
        <v>51</v>
      </c>
      <c r="J125" s="29" t="s">
        <v>1117</v>
      </c>
    </row>
    <row r="126">
      <c r="A126" s="27"/>
      <c r="B126" s="27"/>
      <c r="C126" s="34"/>
      <c r="D126" s="27"/>
      <c r="E126" s="37"/>
      <c r="F126" s="37"/>
      <c r="G126" s="37"/>
      <c r="H126" s="37"/>
      <c r="I126" s="76"/>
      <c r="J126" s="41"/>
    </row>
    <row r="127">
      <c r="A127" s="69" t="s">
        <v>1119</v>
      </c>
      <c r="B127" s="69">
        <v>1.302521E7</v>
      </c>
      <c r="C127" s="69" t="b">
        <v>1</v>
      </c>
      <c r="D127" s="69" t="s">
        <v>82</v>
      </c>
      <c r="E127" s="63">
        <v>3.0</v>
      </c>
      <c r="F127" s="63">
        <v>25.0</v>
      </c>
      <c r="G127" s="299"/>
      <c r="H127" s="63" t="s">
        <v>1120</v>
      </c>
      <c r="I127" s="63" t="s">
        <v>1121</v>
      </c>
      <c r="J127" s="297"/>
    </row>
    <row r="128">
      <c r="A128" s="69" t="s">
        <v>1123</v>
      </c>
      <c r="B128" s="69">
        <v>1.302531E7</v>
      </c>
      <c r="C128" s="69" t="b">
        <v>1</v>
      </c>
      <c r="D128" s="69" t="s">
        <v>96</v>
      </c>
      <c r="E128" s="63">
        <v>3.0</v>
      </c>
      <c r="F128" s="63">
        <v>25.0</v>
      </c>
      <c r="G128" s="299"/>
      <c r="H128" s="63" t="s">
        <v>1126</v>
      </c>
      <c r="I128" s="63" t="s">
        <v>1121</v>
      </c>
      <c r="J128" s="297"/>
    </row>
    <row r="129">
      <c r="A129" s="69" t="s">
        <v>140</v>
      </c>
      <c r="B129" s="69">
        <v>1.27013E7</v>
      </c>
      <c r="C129" s="297" t="b">
        <v>0</v>
      </c>
      <c r="D129" s="69" t="s">
        <v>96</v>
      </c>
      <c r="E129" s="300"/>
      <c r="F129" s="63">
        <v>25.0</v>
      </c>
      <c r="G129" s="299"/>
      <c r="H129" s="63" t="s">
        <v>1126</v>
      </c>
      <c r="I129" s="300"/>
      <c r="J129" s="69" t="s">
        <v>913</v>
      </c>
    </row>
    <row r="130">
      <c r="A130" s="69" t="s">
        <v>1129</v>
      </c>
      <c r="B130" s="69"/>
      <c r="C130" s="297" t="b">
        <v>0</v>
      </c>
      <c r="D130" s="69" t="s">
        <v>96</v>
      </c>
      <c r="E130" s="300"/>
      <c r="F130" s="63">
        <v>25.0</v>
      </c>
      <c r="G130" s="299"/>
      <c r="H130" s="63" t="s">
        <v>1126</v>
      </c>
      <c r="I130" s="300"/>
      <c r="J130" s="69"/>
    </row>
    <row r="131">
      <c r="A131" s="51"/>
      <c r="B131" s="52"/>
      <c r="C131" s="52"/>
      <c r="D131" s="52" t="s">
        <v>101</v>
      </c>
      <c r="E131" s="54">
        <f t="shared" ref="E131:G131" si="14">sum(E126:E130)</f>
        <v>6</v>
      </c>
      <c r="F131" s="54">
        <f t="shared" si="14"/>
        <v>100</v>
      </c>
      <c r="G131" s="54">
        <f t="shared" si="14"/>
        <v>0</v>
      </c>
      <c r="H131" s="54"/>
      <c r="I131" s="54"/>
      <c r="J131" s="56"/>
    </row>
    <row r="132">
      <c r="A132" s="26" t="s">
        <v>205</v>
      </c>
      <c r="J132" s="26"/>
    </row>
    <row r="133">
      <c r="A133" s="33" t="s">
        <v>1133</v>
      </c>
      <c r="J133" s="27"/>
    </row>
    <row r="134">
      <c r="A134" s="28" t="s">
        <v>41</v>
      </c>
      <c r="B134" s="28" t="s">
        <v>42</v>
      </c>
      <c r="C134" s="29" t="s">
        <v>43</v>
      </c>
      <c r="D134" s="28" t="s">
        <v>46</v>
      </c>
      <c r="E134" s="29" t="s">
        <v>47</v>
      </c>
      <c r="F134" s="29" t="s">
        <v>48</v>
      </c>
      <c r="G134" s="29" t="s">
        <v>49</v>
      </c>
      <c r="H134" s="29" t="s">
        <v>50</v>
      </c>
      <c r="I134" s="29" t="s">
        <v>51</v>
      </c>
      <c r="J134" s="29" t="s">
        <v>1134</v>
      </c>
    </row>
    <row r="135">
      <c r="A135" s="69" t="s">
        <v>472</v>
      </c>
      <c r="B135" s="69">
        <v>1.302255E7</v>
      </c>
      <c r="C135" s="297" t="b">
        <v>0</v>
      </c>
      <c r="D135" s="69" t="s">
        <v>58</v>
      </c>
      <c r="E135" s="63">
        <v>1.0</v>
      </c>
      <c r="F135" s="63">
        <v>75.0</v>
      </c>
      <c r="G135" s="299"/>
      <c r="H135" s="63" t="s">
        <v>1136</v>
      </c>
      <c r="I135" s="300"/>
      <c r="J135" s="297"/>
    </row>
    <row r="136">
      <c r="A136" s="69" t="s">
        <v>194</v>
      </c>
      <c r="B136" s="69" t="s">
        <v>478</v>
      </c>
      <c r="C136" s="69" t="b">
        <v>0</v>
      </c>
      <c r="D136" s="69" t="s">
        <v>71</v>
      </c>
      <c r="E136" s="63">
        <v>1.0</v>
      </c>
      <c r="F136" s="63">
        <v>75.0</v>
      </c>
      <c r="G136" s="299"/>
      <c r="H136" s="63" t="s">
        <v>1136</v>
      </c>
      <c r="I136" s="300"/>
      <c r="J136" s="297"/>
    </row>
    <row r="137">
      <c r="A137" s="69" t="s">
        <v>204</v>
      </c>
      <c r="B137" s="69">
        <v>1.302265E7</v>
      </c>
      <c r="C137" s="69" t="b">
        <v>1</v>
      </c>
      <c r="D137" s="69" t="s">
        <v>82</v>
      </c>
      <c r="E137" s="63">
        <v>2.0</v>
      </c>
      <c r="F137" s="63">
        <v>25.0</v>
      </c>
      <c r="G137" s="299"/>
      <c r="H137" s="63" t="s">
        <v>1139</v>
      </c>
      <c r="I137" s="300"/>
      <c r="J137" s="69" t="s">
        <v>209</v>
      </c>
    </row>
    <row r="138">
      <c r="A138" s="69" t="s">
        <v>211</v>
      </c>
      <c r="B138" s="69">
        <v>1.3022705E7</v>
      </c>
      <c r="C138" s="69" t="b">
        <v>0</v>
      </c>
      <c r="D138" s="69" t="s">
        <v>96</v>
      </c>
      <c r="E138" s="63">
        <v>2.0</v>
      </c>
      <c r="F138" s="63">
        <v>25.0</v>
      </c>
      <c r="G138" s="299"/>
      <c r="H138" s="63" t="s">
        <v>1139</v>
      </c>
      <c r="I138" s="300"/>
      <c r="J138" s="69" t="s">
        <v>213</v>
      </c>
    </row>
    <row r="139">
      <c r="A139" s="51"/>
      <c r="B139" s="52"/>
      <c r="C139" s="52"/>
      <c r="D139" s="52" t="s">
        <v>101</v>
      </c>
      <c r="E139" s="54">
        <f t="shared" ref="E139:G139" si="15">sum(E135:E138)</f>
        <v>6</v>
      </c>
      <c r="F139" s="54">
        <f t="shared" si="15"/>
        <v>200</v>
      </c>
      <c r="G139" s="54">
        <f t="shared" si="15"/>
        <v>0</v>
      </c>
      <c r="H139" s="54"/>
      <c r="I139" s="54"/>
      <c r="J139" s="56"/>
    </row>
    <row r="140">
      <c r="A140" s="26" t="s">
        <v>205</v>
      </c>
      <c r="J140" s="26"/>
    </row>
    <row r="141">
      <c r="A141" s="27" t="s">
        <v>1142</v>
      </c>
      <c r="J141" s="27"/>
    </row>
    <row r="142">
      <c r="A142" s="28" t="s">
        <v>41</v>
      </c>
      <c r="B142" s="28" t="s">
        <v>42</v>
      </c>
      <c r="C142" s="29" t="s">
        <v>43</v>
      </c>
      <c r="D142" s="28" t="s">
        <v>46</v>
      </c>
      <c r="E142" s="29" t="s">
        <v>47</v>
      </c>
      <c r="F142" s="29" t="s">
        <v>48</v>
      </c>
      <c r="G142" s="29" t="s">
        <v>49</v>
      </c>
      <c r="H142" s="29" t="s">
        <v>50</v>
      </c>
      <c r="I142" s="29" t="s">
        <v>51</v>
      </c>
      <c r="J142" s="29" t="s">
        <v>1145</v>
      </c>
    </row>
    <row r="143">
      <c r="A143" s="27" t="s">
        <v>1146</v>
      </c>
      <c r="B143" s="27">
        <v>1.300911E7</v>
      </c>
      <c r="C143" s="34" t="b">
        <v>0</v>
      </c>
      <c r="D143" s="27" t="s">
        <v>71</v>
      </c>
      <c r="E143" s="37">
        <v>2.0</v>
      </c>
      <c r="F143" s="37">
        <v>25.0</v>
      </c>
      <c r="G143" s="37"/>
      <c r="H143" s="37"/>
      <c r="I143" s="76"/>
      <c r="J143" s="41"/>
    </row>
    <row r="144">
      <c r="A144" s="27" t="s">
        <v>1148</v>
      </c>
      <c r="B144" s="27">
        <v>1.300921E7</v>
      </c>
      <c r="C144" s="27" t="b">
        <v>0</v>
      </c>
      <c r="D144" s="27" t="s">
        <v>82</v>
      </c>
      <c r="E144" s="37">
        <v>2.0</v>
      </c>
      <c r="F144" s="37">
        <v>25.0</v>
      </c>
      <c r="G144" s="37"/>
      <c r="H144" s="37"/>
      <c r="I144" s="76"/>
      <c r="J144" s="41" t="s">
        <v>228</v>
      </c>
    </row>
    <row r="145">
      <c r="A145" s="27" t="s">
        <v>1152</v>
      </c>
      <c r="B145" s="27">
        <v>1.300925E7</v>
      </c>
      <c r="C145" s="27" t="b">
        <v>0</v>
      </c>
      <c r="D145" s="27" t="s">
        <v>96</v>
      </c>
      <c r="E145" s="37">
        <v>2.0</v>
      </c>
      <c r="F145" s="37">
        <v>25.0</v>
      </c>
      <c r="G145" s="37"/>
      <c r="H145" s="37"/>
      <c r="I145" s="76"/>
      <c r="J145" s="41"/>
    </row>
    <row r="146">
      <c r="A146" s="51"/>
      <c r="B146" s="52"/>
      <c r="C146" s="52"/>
      <c r="D146" s="52" t="s">
        <v>101</v>
      </c>
      <c r="E146" s="54">
        <f t="shared" ref="E146:G146" si="16">sum(E143:E145)</f>
        <v>6</v>
      </c>
      <c r="F146" s="54">
        <f t="shared" si="16"/>
        <v>75</v>
      </c>
      <c r="G146" s="54">
        <f t="shared" si="16"/>
        <v>0</v>
      </c>
      <c r="H146" s="54"/>
      <c r="I146" s="54"/>
      <c r="J146" s="56"/>
    </row>
    <row r="147">
      <c r="A147" s="26" t="s">
        <v>205</v>
      </c>
      <c r="J147" s="26"/>
    </row>
    <row r="148">
      <c r="A148" s="33" t="s">
        <v>1156</v>
      </c>
      <c r="J148" s="27"/>
    </row>
    <row r="149">
      <c r="A149" s="28" t="s">
        <v>41</v>
      </c>
      <c r="B149" s="28" t="s">
        <v>42</v>
      </c>
      <c r="C149" s="29" t="s">
        <v>43</v>
      </c>
      <c r="D149" s="28" t="s">
        <v>46</v>
      </c>
      <c r="E149" s="29" t="s">
        <v>47</v>
      </c>
      <c r="F149" s="29" t="s">
        <v>48</v>
      </c>
      <c r="G149" s="29" t="s">
        <v>49</v>
      </c>
      <c r="H149" s="29" t="s">
        <v>50</v>
      </c>
      <c r="I149" s="29" t="s">
        <v>51</v>
      </c>
      <c r="J149" s="29" t="s">
        <v>1159</v>
      </c>
    </row>
    <row r="150">
      <c r="A150" s="69" t="s">
        <v>254</v>
      </c>
      <c r="B150" s="27" t="s">
        <v>255</v>
      </c>
      <c r="C150" s="34" t="b">
        <v>0</v>
      </c>
      <c r="D150" s="27" t="s">
        <v>58</v>
      </c>
      <c r="E150" s="37">
        <v>1.0</v>
      </c>
      <c r="F150" s="37">
        <v>75.0</v>
      </c>
      <c r="G150" s="37">
        <v>86.0</v>
      </c>
      <c r="H150" s="63" t="s">
        <v>1160</v>
      </c>
      <c r="I150" s="63" t="s">
        <v>265</v>
      </c>
      <c r="J150" s="41"/>
    </row>
    <row r="151">
      <c r="A151" s="69" t="s">
        <v>261</v>
      </c>
      <c r="B151" s="27" t="s">
        <v>262</v>
      </c>
      <c r="C151" s="34" t="b">
        <v>0</v>
      </c>
      <c r="D151" s="27" t="s">
        <v>71</v>
      </c>
      <c r="E151" s="37">
        <v>1.0</v>
      </c>
      <c r="F151" s="37">
        <v>75.0</v>
      </c>
      <c r="G151" s="37">
        <v>62.0</v>
      </c>
      <c r="H151" s="63" t="s">
        <v>1160</v>
      </c>
      <c r="I151" s="63" t="s">
        <v>265</v>
      </c>
      <c r="J151" s="41"/>
    </row>
    <row r="152">
      <c r="A152" s="69" t="s">
        <v>267</v>
      </c>
      <c r="B152" s="27" t="s">
        <v>268</v>
      </c>
      <c r="C152" s="27" t="b">
        <v>0</v>
      </c>
      <c r="D152" s="27" t="s">
        <v>82</v>
      </c>
      <c r="E152" s="37">
        <v>1.0</v>
      </c>
      <c r="F152" s="37">
        <v>75.0</v>
      </c>
      <c r="G152" s="37">
        <v>54.0</v>
      </c>
      <c r="H152" s="63" t="s">
        <v>1162</v>
      </c>
      <c r="I152" s="63" t="s">
        <v>265</v>
      </c>
      <c r="J152" s="41" t="s">
        <v>270</v>
      </c>
    </row>
    <row r="153">
      <c r="A153" s="69" t="s">
        <v>272</v>
      </c>
      <c r="B153" s="27" t="s">
        <v>273</v>
      </c>
      <c r="C153" s="27" t="b">
        <v>0</v>
      </c>
      <c r="D153" s="27" t="s">
        <v>96</v>
      </c>
      <c r="E153" s="37">
        <v>1.0</v>
      </c>
      <c r="F153" s="37">
        <v>75.0</v>
      </c>
      <c r="G153" s="37">
        <v>49.0</v>
      </c>
      <c r="H153" s="63" t="s">
        <v>1162</v>
      </c>
      <c r="I153" s="63" t="s">
        <v>265</v>
      </c>
      <c r="J153" s="41" t="s">
        <v>270</v>
      </c>
    </row>
    <row r="154">
      <c r="A154" s="51"/>
      <c r="B154" s="52"/>
      <c r="C154" s="52"/>
      <c r="D154" s="52" t="s">
        <v>101</v>
      </c>
      <c r="E154" s="54">
        <f t="shared" ref="E154:G154" si="17">sum(E150:E153)</f>
        <v>4</v>
      </c>
      <c r="F154" s="54">
        <f t="shared" si="17"/>
        <v>300</v>
      </c>
      <c r="G154" s="54">
        <f t="shared" si="17"/>
        <v>251</v>
      </c>
      <c r="H154" s="54"/>
      <c r="I154" s="54"/>
      <c r="J154" s="56"/>
    </row>
    <row r="155">
      <c r="A155" s="26" t="s">
        <v>205</v>
      </c>
      <c r="J155" s="26"/>
    </row>
    <row r="156">
      <c r="A156" s="33" t="s">
        <v>1166</v>
      </c>
      <c r="J156" s="27"/>
    </row>
    <row r="157">
      <c r="A157" s="28" t="s">
        <v>41</v>
      </c>
      <c r="B157" s="28" t="s">
        <v>42</v>
      </c>
      <c r="C157" s="29" t="s">
        <v>43</v>
      </c>
      <c r="D157" s="28" t="s">
        <v>46</v>
      </c>
      <c r="E157" s="29" t="s">
        <v>47</v>
      </c>
      <c r="F157" s="29" t="s">
        <v>48</v>
      </c>
      <c r="G157" s="29" t="s">
        <v>49</v>
      </c>
      <c r="H157" s="29" t="s">
        <v>50</v>
      </c>
      <c r="I157" s="29" t="s">
        <v>51</v>
      </c>
      <c r="J157" s="29" t="s">
        <v>1167</v>
      </c>
    </row>
    <row r="158">
      <c r="A158" s="69" t="s">
        <v>155</v>
      </c>
      <c r="B158" s="27">
        <v>1.30375E7</v>
      </c>
      <c r="C158" s="27" t="b">
        <v>1</v>
      </c>
      <c r="D158" s="27" t="s">
        <v>82</v>
      </c>
      <c r="E158" s="37">
        <v>1.0</v>
      </c>
      <c r="F158" s="37">
        <v>50.0</v>
      </c>
      <c r="G158" s="37"/>
      <c r="H158" s="63" t="s">
        <v>1168</v>
      </c>
      <c r="I158" s="63" t="s">
        <v>1169</v>
      </c>
      <c r="J158" s="41"/>
    </row>
    <row r="159">
      <c r="A159" s="69" t="s">
        <v>576</v>
      </c>
      <c r="B159" s="27">
        <v>1.30376E7</v>
      </c>
      <c r="C159" s="27" t="b">
        <v>1</v>
      </c>
      <c r="D159" s="27" t="s">
        <v>82</v>
      </c>
      <c r="E159" s="37">
        <v>1.0</v>
      </c>
      <c r="F159" s="37">
        <v>50.0</v>
      </c>
      <c r="G159" s="37"/>
      <c r="H159" s="63" t="s">
        <v>1168</v>
      </c>
      <c r="I159" s="63" t="s">
        <v>1169</v>
      </c>
      <c r="J159" s="41"/>
    </row>
    <row r="160">
      <c r="A160" s="69" t="s">
        <v>173</v>
      </c>
      <c r="B160" s="27" t="s">
        <v>567</v>
      </c>
      <c r="C160" s="27" t="b">
        <v>0</v>
      </c>
      <c r="D160" s="27" t="s">
        <v>82</v>
      </c>
      <c r="E160" s="37">
        <v>1.0</v>
      </c>
      <c r="F160" s="37">
        <v>50.0</v>
      </c>
      <c r="G160" s="37"/>
      <c r="H160" s="63" t="s">
        <v>1168</v>
      </c>
      <c r="I160" s="63" t="s">
        <v>1169</v>
      </c>
      <c r="J160" s="45" t="s">
        <v>1174</v>
      </c>
    </row>
    <row r="161">
      <c r="A161" s="51"/>
      <c r="B161" s="52"/>
      <c r="C161" s="52"/>
      <c r="D161" s="52" t="s">
        <v>101</v>
      </c>
      <c r="E161" s="54">
        <f t="shared" ref="E161:G161" si="18">sum(E158:E160)</f>
        <v>3</v>
      </c>
      <c r="F161" s="54">
        <f t="shared" si="18"/>
        <v>150</v>
      </c>
      <c r="G161" s="54">
        <f t="shared" si="18"/>
        <v>0</v>
      </c>
      <c r="H161" s="54"/>
      <c r="I161" s="54"/>
      <c r="J161" s="56"/>
    </row>
    <row r="162">
      <c r="A162" s="26" t="s">
        <v>205</v>
      </c>
      <c r="J162" s="26"/>
    </row>
    <row r="163">
      <c r="A163" s="27" t="s">
        <v>1175</v>
      </c>
      <c r="J163" s="27"/>
    </row>
    <row r="164">
      <c r="A164" s="28" t="s">
        <v>41</v>
      </c>
      <c r="B164" s="28" t="s">
        <v>42</v>
      </c>
      <c r="C164" s="29" t="s">
        <v>43</v>
      </c>
      <c r="D164" s="28" t="s">
        <v>46</v>
      </c>
      <c r="E164" s="29" t="s">
        <v>47</v>
      </c>
      <c r="F164" s="29" t="s">
        <v>48</v>
      </c>
      <c r="G164" s="29" t="s">
        <v>49</v>
      </c>
      <c r="H164" s="29" t="s">
        <v>50</v>
      </c>
      <c r="I164" s="29" t="s">
        <v>51</v>
      </c>
      <c r="J164" s="29" t="s">
        <v>1178</v>
      </c>
    </row>
    <row r="165">
      <c r="A165" s="27" t="s">
        <v>868</v>
      </c>
      <c r="B165" s="27">
        <v>3580830.0</v>
      </c>
      <c r="C165" s="27" t="b">
        <v>1</v>
      </c>
      <c r="D165" s="27" t="s">
        <v>71</v>
      </c>
      <c r="E165" s="37">
        <v>1.0</v>
      </c>
      <c r="F165" s="37">
        <v>100.0</v>
      </c>
      <c r="G165" s="37"/>
      <c r="H165" s="37"/>
      <c r="I165" s="37"/>
      <c r="J165" s="375" t="s">
        <v>1182</v>
      </c>
    </row>
    <row r="166">
      <c r="A166" s="27" t="s">
        <v>601</v>
      </c>
      <c r="B166" s="27">
        <v>3580820.0</v>
      </c>
      <c r="C166" s="27" t="b">
        <v>1</v>
      </c>
      <c r="D166" s="27" t="s">
        <v>82</v>
      </c>
      <c r="E166" s="37">
        <v>1.0</v>
      </c>
      <c r="F166" s="37">
        <v>50.0</v>
      </c>
      <c r="G166" s="37"/>
      <c r="H166" s="37"/>
      <c r="I166" s="37"/>
      <c r="J166" s="75" t="s">
        <v>937</v>
      </c>
    </row>
    <row r="167">
      <c r="A167" s="27" t="s">
        <v>1183</v>
      </c>
      <c r="B167" s="27">
        <v>1.3028E7</v>
      </c>
      <c r="C167" s="27" t="b">
        <v>1</v>
      </c>
      <c r="D167" s="27" t="s">
        <v>96</v>
      </c>
      <c r="E167" s="37">
        <v>2.0</v>
      </c>
      <c r="F167" s="37">
        <v>50.0</v>
      </c>
      <c r="G167" s="37"/>
      <c r="H167" s="37"/>
      <c r="I167" s="37"/>
      <c r="J167" s="75" t="s">
        <v>1185</v>
      </c>
    </row>
    <row r="168">
      <c r="A168" s="51"/>
      <c r="B168" s="52"/>
      <c r="C168" s="52"/>
      <c r="D168" s="52" t="s">
        <v>101</v>
      </c>
      <c r="E168" s="54">
        <f t="shared" ref="E168:G168" si="19">sum(E165:E167)</f>
        <v>4</v>
      </c>
      <c r="F168" s="54">
        <f t="shared" si="19"/>
        <v>200</v>
      </c>
      <c r="G168" s="54">
        <f t="shared" si="19"/>
        <v>0</v>
      </c>
      <c r="H168" s="54"/>
      <c r="I168" s="54"/>
      <c r="J168" s="56"/>
    </row>
    <row r="169">
      <c r="A169" s="26" t="s">
        <v>205</v>
      </c>
      <c r="J169" s="26"/>
    </row>
    <row r="170">
      <c r="A170" s="27" t="s">
        <v>1188</v>
      </c>
      <c r="J170" s="27"/>
    </row>
    <row r="171">
      <c r="A171" s="28" t="s">
        <v>41</v>
      </c>
      <c r="B171" s="28" t="s">
        <v>42</v>
      </c>
      <c r="C171" s="29" t="s">
        <v>43</v>
      </c>
      <c r="D171" s="28" t="s">
        <v>46</v>
      </c>
      <c r="E171" s="29" t="s">
        <v>47</v>
      </c>
      <c r="F171" s="29" t="s">
        <v>48</v>
      </c>
      <c r="G171" s="29" t="s">
        <v>49</v>
      </c>
      <c r="H171" s="29" t="s">
        <v>50</v>
      </c>
      <c r="I171" s="29" t="s">
        <v>51</v>
      </c>
      <c r="J171" s="29" t="s">
        <v>1190</v>
      </c>
    </row>
    <row r="172">
      <c r="A172" s="33" t="s">
        <v>539</v>
      </c>
      <c r="B172" s="27">
        <v>1.30166E7</v>
      </c>
      <c r="C172" s="34" t="b">
        <v>0</v>
      </c>
      <c r="D172" s="27" t="s">
        <v>71</v>
      </c>
      <c r="E172" s="37">
        <v>1.0</v>
      </c>
      <c r="F172" s="37">
        <v>75.0</v>
      </c>
      <c r="G172" s="37"/>
      <c r="H172" s="85" t="s">
        <v>1193</v>
      </c>
      <c r="I172" s="85" t="s">
        <v>88</v>
      </c>
      <c r="J172" s="45" t="s">
        <v>1055</v>
      </c>
    </row>
    <row r="173">
      <c r="A173" s="33" t="s">
        <v>1194</v>
      </c>
      <c r="B173" s="27">
        <v>1.30167E7</v>
      </c>
      <c r="C173" s="27" t="b">
        <v>1</v>
      </c>
      <c r="D173" s="27" t="s">
        <v>82</v>
      </c>
      <c r="E173" s="37">
        <v>1.0</v>
      </c>
      <c r="F173" s="37">
        <v>50.0</v>
      </c>
      <c r="G173" s="37"/>
      <c r="H173" s="85" t="s">
        <v>1193</v>
      </c>
      <c r="I173" s="85" t="s">
        <v>88</v>
      </c>
      <c r="J173" s="45" t="s">
        <v>1055</v>
      </c>
    </row>
    <row r="174">
      <c r="A174" s="33" t="s">
        <v>140</v>
      </c>
      <c r="B174" s="27">
        <v>1.27013E7</v>
      </c>
      <c r="C174" s="34" t="b">
        <v>0</v>
      </c>
      <c r="D174" s="27" t="s">
        <v>96</v>
      </c>
      <c r="E174" s="37">
        <v>2.0</v>
      </c>
      <c r="F174" s="37">
        <v>25.0</v>
      </c>
      <c r="G174" s="37"/>
      <c r="H174" s="85" t="s">
        <v>1197</v>
      </c>
      <c r="I174" s="85" t="s">
        <v>1199</v>
      </c>
      <c r="J174" s="41"/>
    </row>
    <row r="175">
      <c r="A175" s="51"/>
      <c r="B175" s="52"/>
      <c r="C175" s="52"/>
      <c r="D175" s="52" t="s">
        <v>101</v>
      </c>
      <c r="E175" s="54">
        <f t="shared" ref="E175:G175" si="20">sum(E172:E174)</f>
        <v>4</v>
      </c>
      <c r="F175" s="54">
        <f t="shared" si="20"/>
        <v>150</v>
      </c>
      <c r="G175" s="54">
        <f t="shared" si="20"/>
        <v>0</v>
      </c>
      <c r="H175" s="54"/>
      <c r="I175" s="54"/>
      <c r="J175" s="56"/>
    </row>
    <row r="176">
      <c r="A176" s="26" t="s">
        <v>205</v>
      </c>
      <c r="J176" s="26"/>
    </row>
    <row r="177">
      <c r="A177" s="27" t="s">
        <v>308</v>
      </c>
      <c r="J177" s="27"/>
    </row>
    <row r="178">
      <c r="A178" s="28" t="s">
        <v>41</v>
      </c>
      <c r="B178" s="28" t="s">
        <v>42</v>
      </c>
      <c r="C178" s="29" t="s">
        <v>43</v>
      </c>
      <c r="D178" s="28" t="s">
        <v>46</v>
      </c>
      <c r="E178" s="29" t="s">
        <v>47</v>
      </c>
      <c r="F178" s="29" t="s">
        <v>48</v>
      </c>
      <c r="G178" s="29" t="s">
        <v>49</v>
      </c>
      <c r="H178" s="29" t="s">
        <v>50</v>
      </c>
      <c r="I178" s="29" t="s">
        <v>51</v>
      </c>
      <c r="J178" s="29" t="s">
        <v>1202</v>
      </c>
    </row>
    <row r="179">
      <c r="A179" s="33" t="s">
        <v>53</v>
      </c>
      <c r="B179" s="27"/>
      <c r="C179" s="34" t="b">
        <v>0</v>
      </c>
      <c r="D179" s="27" t="s">
        <v>58</v>
      </c>
      <c r="E179" s="37">
        <v>1.0</v>
      </c>
      <c r="F179" s="37"/>
      <c r="G179" s="37"/>
      <c r="H179" s="37" t="s">
        <v>1204</v>
      </c>
      <c r="I179" s="85" t="s">
        <v>88</v>
      </c>
      <c r="J179" s="45"/>
    </row>
    <row r="180">
      <c r="A180" s="33" t="s">
        <v>279</v>
      </c>
      <c r="B180" s="27">
        <v>1.30114E7</v>
      </c>
      <c r="C180" s="34" t="b">
        <v>0</v>
      </c>
      <c r="D180" s="27" t="s">
        <v>58</v>
      </c>
      <c r="E180" s="37">
        <v>1.0</v>
      </c>
      <c r="F180" s="37">
        <v>450.0</v>
      </c>
      <c r="G180" s="37"/>
      <c r="H180" s="37" t="s">
        <v>1205</v>
      </c>
      <c r="I180" s="85" t="s">
        <v>88</v>
      </c>
      <c r="J180" s="45" t="s">
        <v>352</v>
      </c>
    </row>
    <row r="181">
      <c r="A181" s="33" t="s">
        <v>308</v>
      </c>
      <c r="B181" s="27">
        <v>1.30121E7</v>
      </c>
      <c r="C181" s="34" t="b">
        <v>0</v>
      </c>
      <c r="D181" s="27" t="s">
        <v>71</v>
      </c>
      <c r="E181" s="37">
        <v>1.0</v>
      </c>
      <c r="F181" s="37">
        <v>225.0</v>
      </c>
      <c r="G181" s="37"/>
      <c r="H181" s="37" t="s">
        <v>1206</v>
      </c>
      <c r="I181" s="136" t="s">
        <v>1207</v>
      </c>
      <c r="J181" s="45" t="s">
        <v>645</v>
      </c>
    </row>
    <row r="182">
      <c r="A182" s="33" t="s">
        <v>354</v>
      </c>
      <c r="B182" s="27">
        <v>1.30115E7</v>
      </c>
      <c r="C182" s="27" t="b">
        <v>0</v>
      </c>
      <c r="D182" s="27" t="s">
        <v>82</v>
      </c>
      <c r="E182" s="37">
        <v>1.0</v>
      </c>
      <c r="F182" s="37">
        <v>300.0</v>
      </c>
      <c r="G182" s="37"/>
      <c r="H182" s="37" t="s">
        <v>1209</v>
      </c>
      <c r="I182" s="136" t="s">
        <v>1210</v>
      </c>
      <c r="J182" s="45" t="s">
        <v>356</v>
      </c>
    </row>
    <row r="183">
      <c r="A183" s="33" t="s">
        <v>861</v>
      </c>
      <c r="B183" s="27"/>
      <c r="C183" s="34" t="b">
        <v>0</v>
      </c>
      <c r="D183" s="27"/>
      <c r="E183" s="37"/>
      <c r="F183" s="37"/>
      <c r="G183" s="37"/>
      <c r="H183" s="37" t="s">
        <v>1212</v>
      </c>
      <c r="I183" s="136"/>
      <c r="J183" s="45"/>
    </row>
    <row r="184">
      <c r="A184" s="33" t="s">
        <v>1215</v>
      </c>
      <c r="B184" s="27" t="s">
        <v>429</v>
      </c>
      <c r="C184" s="34" t="b">
        <v>0</v>
      </c>
      <c r="D184" s="27" t="s">
        <v>96</v>
      </c>
      <c r="E184" s="37">
        <v>2.0</v>
      </c>
      <c r="F184" s="37">
        <v>50.0</v>
      </c>
      <c r="G184" s="37"/>
      <c r="H184" s="37" t="s">
        <v>1204</v>
      </c>
      <c r="I184" s="136" t="s">
        <v>88</v>
      </c>
      <c r="J184" s="45"/>
    </row>
    <row r="185">
      <c r="A185" s="51"/>
      <c r="B185" s="52"/>
      <c r="C185" s="52"/>
      <c r="D185" s="52" t="s">
        <v>101</v>
      </c>
      <c r="E185" s="54">
        <f>sum(E180:E184)</f>
        <v>5</v>
      </c>
      <c r="F185" s="54">
        <f>sum(F180:F182)</f>
        <v>975</v>
      </c>
      <c r="G185" s="54">
        <f>sum(G180:G184)</f>
        <v>0</v>
      </c>
      <c r="H185" s="54"/>
      <c r="I185" s="54"/>
      <c r="J185" s="56"/>
    </row>
    <row r="186">
      <c r="A186" s="69" t="s">
        <v>1219</v>
      </c>
      <c r="J186" s="27"/>
    </row>
    <row r="187">
      <c r="A187" s="28" t="s">
        <v>41</v>
      </c>
      <c r="B187" s="28" t="s">
        <v>42</v>
      </c>
      <c r="C187" s="29" t="s">
        <v>43</v>
      </c>
      <c r="D187" s="28" t="s">
        <v>46</v>
      </c>
      <c r="E187" s="29" t="s">
        <v>47</v>
      </c>
      <c r="F187" s="29" t="s">
        <v>48</v>
      </c>
      <c r="G187" s="29" t="s">
        <v>49</v>
      </c>
      <c r="H187" s="29" t="s">
        <v>50</v>
      </c>
      <c r="I187" s="29" t="s">
        <v>51</v>
      </c>
      <c r="J187" s="29" t="s">
        <v>1222</v>
      </c>
    </row>
    <row r="188">
      <c r="A188" s="69" t="s">
        <v>1223</v>
      </c>
      <c r="B188" s="69">
        <v>1.30242E7</v>
      </c>
      <c r="C188" s="297" t="b">
        <v>0</v>
      </c>
      <c r="D188" s="69" t="s">
        <v>58</v>
      </c>
      <c r="E188" s="63">
        <v>1.0</v>
      </c>
      <c r="F188" s="63">
        <v>150.0</v>
      </c>
      <c r="G188" s="299"/>
      <c r="H188" s="63" t="s">
        <v>1224</v>
      </c>
      <c r="I188" s="300"/>
      <c r="J188" s="297"/>
    </row>
    <row r="189">
      <c r="A189" s="69" t="s">
        <v>1225</v>
      </c>
      <c r="B189" s="69"/>
      <c r="C189" s="297" t="b">
        <v>0</v>
      </c>
      <c r="D189" s="69" t="s">
        <v>71</v>
      </c>
      <c r="E189" s="63">
        <v>0.5</v>
      </c>
      <c r="F189" s="63">
        <v>150.0</v>
      </c>
      <c r="G189" s="299"/>
      <c r="H189" s="63" t="s">
        <v>1226</v>
      </c>
      <c r="I189" s="300"/>
      <c r="J189" s="297"/>
    </row>
    <row r="190">
      <c r="A190" s="69" t="s">
        <v>1227</v>
      </c>
      <c r="B190" s="69"/>
      <c r="C190" s="297" t="b">
        <v>0</v>
      </c>
      <c r="D190" s="69" t="s">
        <v>58</v>
      </c>
      <c r="E190" s="63">
        <v>0.5</v>
      </c>
      <c r="F190" s="63">
        <v>125.0</v>
      </c>
      <c r="G190" s="299"/>
      <c r="H190" s="63" t="s">
        <v>1226</v>
      </c>
      <c r="I190" s="300"/>
      <c r="J190" s="297"/>
    </row>
    <row r="191">
      <c r="A191" s="69" t="s">
        <v>827</v>
      </c>
      <c r="B191" s="69">
        <v>1.30143E7</v>
      </c>
      <c r="C191" s="297" t="b">
        <v>0</v>
      </c>
      <c r="D191" s="69" t="s">
        <v>71</v>
      </c>
      <c r="E191" s="63">
        <v>1.0</v>
      </c>
      <c r="F191" s="63">
        <v>100.0</v>
      </c>
      <c r="G191" s="299"/>
      <c r="H191" s="63" t="s">
        <v>1229</v>
      </c>
      <c r="I191" s="300"/>
      <c r="J191" s="297"/>
    </row>
    <row r="192">
      <c r="A192" s="69" t="s">
        <v>1230</v>
      </c>
      <c r="B192" s="69">
        <v>1.30249E7</v>
      </c>
      <c r="C192" s="297" t="b">
        <v>0</v>
      </c>
      <c r="D192" s="69" t="s">
        <v>82</v>
      </c>
      <c r="E192" s="63">
        <v>1.0</v>
      </c>
      <c r="F192" s="63">
        <v>100.0</v>
      </c>
      <c r="G192" s="299"/>
      <c r="H192" s="63" t="s">
        <v>1229</v>
      </c>
      <c r="I192" s="300"/>
      <c r="J192" s="69" t="s">
        <v>1233</v>
      </c>
    </row>
    <row r="193">
      <c r="A193" s="69" t="s">
        <v>1234</v>
      </c>
      <c r="B193" s="69">
        <v>1.30246E7</v>
      </c>
      <c r="C193" s="297" t="b">
        <v>0</v>
      </c>
      <c r="D193" s="69" t="s">
        <v>82</v>
      </c>
      <c r="E193" s="63">
        <v>1.0</v>
      </c>
      <c r="F193" s="63">
        <v>100.0</v>
      </c>
      <c r="G193" s="299"/>
      <c r="H193" s="63" t="s">
        <v>1236</v>
      </c>
      <c r="I193" s="300"/>
      <c r="J193" s="69" t="s">
        <v>1233</v>
      </c>
    </row>
    <row r="194">
      <c r="A194" s="69" t="s">
        <v>1237</v>
      </c>
      <c r="B194" s="69"/>
      <c r="C194" s="297" t="b">
        <v>0</v>
      </c>
      <c r="D194" s="69" t="s">
        <v>96</v>
      </c>
      <c r="E194" s="63"/>
      <c r="F194" s="63">
        <v>50.0</v>
      </c>
      <c r="G194" s="299"/>
      <c r="H194" s="63" t="s">
        <v>1240</v>
      </c>
      <c r="I194" s="63"/>
      <c r="J194" s="69" t="s">
        <v>1233</v>
      </c>
    </row>
    <row r="195">
      <c r="A195" s="51"/>
      <c r="B195" s="52"/>
      <c r="C195" s="52"/>
      <c r="D195" s="52" t="s">
        <v>101</v>
      </c>
      <c r="E195" s="54">
        <f>sum(E188:E193)</f>
        <v>5</v>
      </c>
      <c r="F195" s="54">
        <f t="shared" ref="F195:G195" si="21">sum(F188:F194)</f>
        <v>775</v>
      </c>
      <c r="G195" s="54">
        <f t="shared" si="21"/>
        <v>0</v>
      </c>
      <c r="H195" s="54"/>
      <c r="I195" s="54"/>
      <c r="J195" s="56"/>
    </row>
    <row r="196">
      <c r="A196" s="27" t="s">
        <v>1245</v>
      </c>
      <c r="J196" s="27"/>
    </row>
    <row r="197">
      <c r="A197" s="28" t="s">
        <v>41</v>
      </c>
      <c r="B197" s="28" t="s">
        <v>42</v>
      </c>
      <c r="C197" s="29" t="s">
        <v>43</v>
      </c>
      <c r="D197" s="28" t="s">
        <v>46</v>
      </c>
      <c r="E197" s="29" t="s">
        <v>47</v>
      </c>
      <c r="F197" s="29" t="s">
        <v>48</v>
      </c>
      <c r="G197" s="29" t="s">
        <v>49</v>
      </c>
      <c r="H197" s="29" t="s">
        <v>50</v>
      </c>
      <c r="I197" s="29" t="s">
        <v>51</v>
      </c>
      <c r="J197" s="29" t="s">
        <v>1247</v>
      </c>
    </row>
    <row r="198">
      <c r="A198" s="33" t="s">
        <v>1248</v>
      </c>
      <c r="B198" s="33"/>
      <c r="C198" s="88" t="b">
        <v>0</v>
      </c>
      <c r="D198" s="33" t="s">
        <v>58</v>
      </c>
      <c r="E198" s="85">
        <v>1.0</v>
      </c>
      <c r="F198" s="85"/>
      <c r="G198" s="85"/>
      <c r="H198" s="85" t="s">
        <v>1249</v>
      </c>
      <c r="I198" s="85" t="s">
        <v>88</v>
      </c>
      <c r="J198" s="88"/>
    </row>
    <row r="199">
      <c r="A199" s="33" t="s">
        <v>1189</v>
      </c>
      <c r="B199" s="33">
        <v>3580400.0</v>
      </c>
      <c r="C199" s="88" t="b">
        <v>0</v>
      </c>
      <c r="D199" s="33" t="s">
        <v>58</v>
      </c>
      <c r="E199" s="85">
        <v>1.0</v>
      </c>
      <c r="F199" s="85">
        <v>50.0</v>
      </c>
      <c r="G199" s="85"/>
      <c r="H199" s="85" t="s">
        <v>1250</v>
      </c>
      <c r="I199" s="85" t="s">
        <v>785</v>
      </c>
      <c r="J199" s="88"/>
    </row>
    <row r="200">
      <c r="A200" s="33" t="s">
        <v>1251</v>
      </c>
      <c r="B200" s="33"/>
      <c r="C200" s="88" t="b">
        <v>0</v>
      </c>
      <c r="D200" s="33"/>
      <c r="E200" s="85"/>
      <c r="F200" s="85"/>
      <c r="G200" s="85"/>
      <c r="H200" s="85" t="s">
        <v>1250</v>
      </c>
      <c r="I200" s="85" t="s">
        <v>785</v>
      </c>
      <c r="J200" s="88"/>
    </row>
    <row r="201">
      <c r="A201" s="33" t="s">
        <v>1252</v>
      </c>
      <c r="B201" s="33"/>
      <c r="C201" s="88" t="b">
        <v>0</v>
      </c>
      <c r="D201" s="33" t="s">
        <v>71</v>
      </c>
      <c r="E201" s="85">
        <v>2.0</v>
      </c>
      <c r="F201" s="85"/>
      <c r="G201" s="85"/>
      <c r="H201" s="85" t="s">
        <v>1254</v>
      </c>
      <c r="I201" s="85" t="s">
        <v>785</v>
      </c>
      <c r="J201" s="88" t="s">
        <v>228</v>
      </c>
    </row>
    <row r="202">
      <c r="A202" s="33" t="s">
        <v>1255</v>
      </c>
      <c r="B202" s="33"/>
      <c r="C202" s="33" t="b">
        <v>0</v>
      </c>
      <c r="D202" s="33" t="s">
        <v>82</v>
      </c>
      <c r="E202" s="85">
        <v>2.0</v>
      </c>
      <c r="F202" s="129"/>
      <c r="G202" s="129"/>
      <c r="H202" s="85" t="s">
        <v>1250</v>
      </c>
      <c r="I202" s="85" t="s">
        <v>785</v>
      </c>
      <c r="J202" s="88" t="s">
        <v>228</v>
      </c>
    </row>
    <row r="203">
      <c r="A203" s="33" t="s">
        <v>1258</v>
      </c>
      <c r="B203" s="33"/>
      <c r="C203" s="33" t="b">
        <v>0</v>
      </c>
      <c r="D203" s="33"/>
      <c r="E203" s="85"/>
      <c r="F203" s="85"/>
      <c r="G203" s="85"/>
      <c r="H203" s="85" t="s">
        <v>1249</v>
      </c>
      <c r="I203" s="85" t="s">
        <v>88</v>
      </c>
      <c r="J203" s="88"/>
    </row>
    <row r="204">
      <c r="A204" s="33" t="s">
        <v>1259</v>
      </c>
      <c r="B204" s="33"/>
      <c r="C204" s="33" t="b">
        <v>0</v>
      </c>
      <c r="D204" s="33" t="s">
        <v>96</v>
      </c>
      <c r="E204" s="85">
        <v>2.0</v>
      </c>
      <c r="F204" s="85"/>
      <c r="G204" s="85"/>
      <c r="H204" s="85" t="s">
        <v>1249</v>
      </c>
      <c r="I204" s="85" t="s">
        <v>88</v>
      </c>
      <c r="J204" s="88" t="s">
        <v>228</v>
      </c>
    </row>
    <row r="205">
      <c r="A205" s="27"/>
      <c r="B205" s="34"/>
      <c r="C205" s="34" t="b">
        <v>0</v>
      </c>
      <c r="D205" s="27"/>
      <c r="E205" s="37"/>
      <c r="F205" s="76"/>
      <c r="G205" s="76"/>
      <c r="H205" s="76"/>
      <c r="I205" s="76"/>
      <c r="J205" s="45"/>
    </row>
    <row r="206">
      <c r="A206" s="51"/>
      <c r="B206" s="52"/>
      <c r="C206" s="52"/>
      <c r="D206" s="52" t="s">
        <v>101</v>
      </c>
      <c r="E206" s="54">
        <f t="shared" ref="E206:G206" si="22">sum(E199:E205)</f>
        <v>7</v>
      </c>
      <c r="F206" s="54">
        <f t="shared" si="22"/>
        <v>50</v>
      </c>
      <c r="G206" s="54">
        <f t="shared" si="22"/>
        <v>0</v>
      </c>
      <c r="H206" s="54"/>
      <c r="I206" s="54"/>
      <c r="J206" s="56"/>
    </row>
    <row r="207">
      <c r="A207" s="27" t="s">
        <v>177</v>
      </c>
      <c r="J207" s="27"/>
    </row>
    <row r="208">
      <c r="A208" s="28" t="s">
        <v>41</v>
      </c>
      <c r="B208" s="28" t="s">
        <v>42</v>
      </c>
      <c r="C208" s="29" t="s">
        <v>43</v>
      </c>
      <c r="D208" s="28" t="s">
        <v>46</v>
      </c>
      <c r="E208" s="29" t="s">
        <v>47</v>
      </c>
      <c r="F208" s="29" t="s">
        <v>48</v>
      </c>
      <c r="G208" s="29" t="s">
        <v>49</v>
      </c>
      <c r="H208" s="29" t="s">
        <v>50</v>
      </c>
      <c r="I208" s="29" t="s">
        <v>51</v>
      </c>
      <c r="J208" s="29" t="s">
        <v>1262</v>
      </c>
    </row>
    <row r="209">
      <c r="A209" s="33" t="s">
        <v>177</v>
      </c>
      <c r="B209" s="27">
        <v>1.300997E7</v>
      </c>
      <c r="C209" s="34" t="b">
        <v>0</v>
      </c>
      <c r="D209" s="27" t="s">
        <v>58</v>
      </c>
      <c r="E209" s="37">
        <v>1.0</v>
      </c>
      <c r="F209" s="37">
        <v>50.0</v>
      </c>
      <c r="G209" s="37"/>
      <c r="H209" s="85" t="s">
        <v>1265</v>
      </c>
      <c r="I209" s="85" t="s">
        <v>227</v>
      </c>
      <c r="J209" s="41"/>
    </row>
    <row r="210">
      <c r="A210" s="33" t="s">
        <v>1266</v>
      </c>
      <c r="B210" s="27">
        <v>3580510.0</v>
      </c>
      <c r="C210" s="34" t="b">
        <v>0</v>
      </c>
      <c r="D210" s="27" t="s">
        <v>71</v>
      </c>
      <c r="E210" s="37">
        <v>1.0</v>
      </c>
      <c r="F210" s="37">
        <v>50.0</v>
      </c>
      <c r="G210" s="37"/>
      <c r="H210" s="85" t="s">
        <v>1265</v>
      </c>
      <c r="I210" s="85" t="s">
        <v>227</v>
      </c>
      <c r="J210" s="41"/>
    </row>
    <row r="211">
      <c r="A211" s="33" t="s">
        <v>185</v>
      </c>
      <c r="B211" s="27" t="s">
        <v>186</v>
      </c>
      <c r="C211" s="27" t="b">
        <v>0</v>
      </c>
      <c r="D211" s="27" t="s">
        <v>82</v>
      </c>
      <c r="E211" s="37">
        <v>1.0</v>
      </c>
      <c r="F211" s="37">
        <v>50.0</v>
      </c>
      <c r="G211" s="37"/>
      <c r="H211" s="85" t="s">
        <v>1265</v>
      </c>
      <c r="I211" s="85" t="s">
        <v>227</v>
      </c>
      <c r="J211" s="67" t="s">
        <v>195</v>
      </c>
    </row>
    <row r="212">
      <c r="A212" s="33" t="s">
        <v>188</v>
      </c>
      <c r="B212" s="27" t="s">
        <v>189</v>
      </c>
      <c r="C212" s="27" t="b">
        <v>0</v>
      </c>
      <c r="D212" s="27" t="s">
        <v>96</v>
      </c>
      <c r="E212" s="37">
        <v>1.0</v>
      </c>
      <c r="F212" s="37">
        <v>25.0</v>
      </c>
      <c r="G212" s="37"/>
      <c r="H212" s="85" t="s">
        <v>1265</v>
      </c>
      <c r="I212" s="85" t="s">
        <v>227</v>
      </c>
      <c r="J212" s="45"/>
    </row>
    <row r="213">
      <c r="A213" s="51"/>
      <c r="B213" s="52"/>
      <c r="C213" s="52"/>
      <c r="D213" s="52" t="s">
        <v>101</v>
      </c>
      <c r="E213" s="54">
        <f t="shared" ref="E213:G213" si="23">sum(E209:E212)</f>
        <v>4</v>
      </c>
      <c r="F213" s="54">
        <f t="shared" si="23"/>
        <v>175</v>
      </c>
      <c r="G213" s="54">
        <f t="shared" si="23"/>
        <v>0</v>
      </c>
      <c r="H213" s="54"/>
      <c r="I213" s="54"/>
      <c r="J213" s="56"/>
    </row>
  </sheetData>
  <mergeCells count="54">
    <mergeCell ref="A1:I1"/>
    <mergeCell ref="B2:I2"/>
    <mergeCell ref="J2:J3"/>
    <mergeCell ref="B3:I3"/>
    <mergeCell ref="B4:I4"/>
    <mergeCell ref="B5:I5"/>
    <mergeCell ref="J5:J6"/>
    <mergeCell ref="B6:I6"/>
    <mergeCell ref="B7:I7"/>
    <mergeCell ref="A9:I9"/>
    <mergeCell ref="A10:I10"/>
    <mergeCell ref="A19:I19"/>
    <mergeCell ref="A20:I20"/>
    <mergeCell ref="A29:I29"/>
    <mergeCell ref="A30:I30"/>
    <mergeCell ref="A36:I36"/>
    <mergeCell ref="A37:I37"/>
    <mergeCell ref="A45:I45"/>
    <mergeCell ref="A46:I46"/>
    <mergeCell ref="A53:I53"/>
    <mergeCell ref="A54:I54"/>
    <mergeCell ref="A61:I61"/>
    <mergeCell ref="A62:I62"/>
    <mergeCell ref="A70:I70"/>
    <mergeCell ref="A71:I71"/>
    <mergeCell ref="A78:I78"/>
    <mergeCell ref="A79:I79"/>
    <mergeCell ref="A87:I87"/>
    <mergeCell ref="A88:I88"/>
    <mergeCell ref="A95:I95"/>
    <mergeCell ref="A96:I96"/>
    <mergeCell ref="A103:I103"/>
    <mergeCell ref="A104:I104"/>
    <mergeCell ref="A112:I112"/>
    <mergeCell ref="A113:I113"/>
    <mergeCell ref="A123:I123"/>
    <mergeCell ref="A124:I124"/>
    <mergeCell ref="A132:I132"/>
    <mergeCell ref="A133:I133"/>
    <mergeCell ref="A140:I140"/>
    <mergeCell ref="A141:I141"/>
    <mergeCell ref="A147:I147"/>
    <mergeCell ref="A176:I176"/>
    <mergeCell ref="A177:I177"/>
    <mergeCell ref="A186:I186"/>
    <mergeCell ref="A196:I196"/>
    <mergeCell ref="A207:I207"/>
    <mergeCell ref="A148:I148"/>
    <mergeCell ref="A155:I155"/>
    <mergeCell ref="A156:I156"/>
    <mergeCell ref="A162:I162"/>
    <mergeCell ref="A163:I163"/>
    <mergeCell ref="A169:I169"/>
    <mergeCell ref="A170:I170"/>
  </mergeCells>
  <dataValidations>
    <dataValidation type="list" allowBlank="1" sqref="D12:D16 D22:D26 D32:D33 D39:D42 D48:D51 D56:D59 D64:D68 D73:D76 D81:D85 D90:D93 D98:D101 D106:D110 D115:D121 D126:D130 D135:D138 D143:D145 D150:D153 D158:D160 D165:D167 D172:D174 D179:D184 D188:D194 D198:D205 D209:D212">
      <formula1>'Data Validation'!$A$2:$A$5</formula1>
    </dataValidation>
    <dataValidation type="list" allowBlank="1" sqref="E12:E16 E22:E26 E32:E33 E39:E42 E48:E51 E56:E59 E64:E68 E73:E76 E81:E85 E90:E93 E98:E101 E106:E110 E115:E121 E126:E130 E135:E138 E143:E145 E150:E153 E158:E160 E165:E167 E172:E174 E179:E184 E188:E194 E198:E205 E209:E212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25" footer="0.0" header="0.0" left="0.125" right="0.125" top="0.125"/>
  <pageSetup fitToHeight="0" paperSize="5" cellComments="atEnd" orientation="landscape" pageOrder="overThenDown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56.88"/>
  </cols>
  <sheetData>
    <row r="1" ht="66.75" customHeight="1">
      <c r="A1" s="1" t="s">
        <v>928</v>
      </c>
      <c r="J1" s="102" t="s">
        <v>1</v>
      </c>
    </row>
    <row r="2">
      <c r="A2" s="3" t="s">
        <v>2</v>
      </c>
      <c r="B2" s="217" t="s">
        <v>210</v>
      </c>
      <c r="J2" s="104" t="s">
        <v>6</v>
      </c>
    </row>
    <row r="3">
      <c r="A3" s="3" t="s">
        <v>14</v>
      </c>
      <c r="B3" s="219" t="s">
        <v>933</v>
      </c>
    </row>
    <row r="4">
      <c r="A4" s="3" t="s">
        <v>17</v>
      </c>
      <c r="B4" s="219" t="s">
        <v>934</v>
      </c>
      <c r="J4" s="315" t="s">
        <v>20</v>
      </c>
    </row>
    <row r="5">
      <c r="A5" s="3" t="s">
        <v>26</v>
      </c>
      <c r="B5" s="217" t="s">
        <v>940</v>
      </c>
      <c r="J5" s="105" t="s">
        <v>30</v>
      </c>
    </row>
    <row r="6">
      <c r="A6" s="3" t="s">
        <v>34</v>
      </c>
      <c r="B6" s="5"/>
    </row>
    <row r="7">
      <c r="A7" s="3" t="s">
        <v>36</v>
      </c>
      <c r="B7" s="125" t="s">
        <v>946</v>
      </c>
      <c r="J7" s="320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13"/>
    </row>
    <row r="9" ht="18.75" customHeight="1">
      <c r="A9" s="26" t="s">
        <v>38</v>
      </c>
      <c r="J9" s="322"/>
    </row>
    <row r="10" ht="18.75" customHeight="1">
      <c r="A10" s="27" t="s">
        <v>950</v>
      </c>
      <c r="J10" s="323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113" t="s">
        <v>952</v>
      </c>
    </row>
    <row r="12">
      <c r="A12" s="325" t="s">
        <v>953</v>
      </c>
      <c r="B12" s="207"/>
      <c r="C12" s="207" t="b">
        <v>0</v>
      </c>
      <c r="D12" s="207" t="s">
        <v>58</v>
      </c>
      <c r="E12" s="208">
        <v>1.0</v>
      </c>
      <c r="F12" s="238">
        <v>150.0</v>
      </c>
      <c r="G12" s="238"/>
      <c r="H12" s="238" t="s">
        <v>955</v>
      </c>
      <c r="I12" s="37" t="s">
        <v>956</v>
      </c>
      <c r="J12" s="326" t="s">
        <v>957</v>
      </c>
    </row>
    <row r="13">
      <c r="A13" s="34"/>
      <c r="B13" s="34"/>
      <c r="C13" s="34" t="b">
        <v>0</v>
      </c>
      <c r="D13" s="34"/>
      <c r="E13" s="76"/>
      <c r="F13" s="76"/>
      <c r="G13" s="76"/>
      <c r="H13" s="76"/>
      <c r="I13" s="76"/>
      <c r="J13" s="327"/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76"/>
      <c r="J14" s="327"/>
    </row>
    <row r="15">
      <c r="A15" s="51"/>
      <c r="B15" s="52"/>
      <c r="C15" s="52"/>
      <c r="D15" s="52" t="s">
        <v>101</v>
      </c>
      <c r="E15" s="54">
        <f t="shared" ref="E15:F15" si="1">sum(E12:E14)</f>
        <v>1</v>
      </c>
      <c r="F15" s="54">
        <f t="shared" si="1"/>
        <v>150</v>
      </c>
      <c r="G15" s="54"/>
      <c r="H15" s="54"/>
      <c r="I15" s="54"/>
      <c r="J15" s="328"/>
    </row>
    <row r="16" ht="7.5" customHeight="1">
      <c r="A16" s="23"/>
      <c r="B16" s="23"/>
      <c r="C16" s="23"/>
      <c r="D16" s="23"/>
      <c r="E16" s="25"/>
      <c r="F16" s="23"/>
      <c r="G16" s="23"/>
      <c r="H16" s="23"/>
      <c r="I16" s="25"/>
      <c r="J16" s="213"/>
    </row>
  </sheetData>
  <mergeCells count="11">
    <mergeCell ref="B6:I6"/>
    <mergeCell ref="B7:I7"/>
    <mergeCell ref="A9:I9"/>
    <mergeCell ref="A10:I10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4">
      <formula1>'Data Validation'!$A$2:$A$5</formula1>
    </dataValidation>
    <dataValidation type="list" allowBlank="1" sqref="E12:E14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1.63"/>
  </cols>
  <sheetData>
    <row r="1" ht="66.75" customHeight="1">
      <c r="A1" s="1" t="s">
        <v>965</v>
      </c>
      <c r="J1" s="2" t="s">
        <v>1</v>
      </c>
    </row>
    <row r="2">
      <c r="A2" s="3" t="s">
        <v>2</v>
      </c>
      <c r="B2" s="5" t="s">
        <v>214</v>
      </c>
      <c r="J2" s="13" t="s">
        <v>6</v>
      </c>
    </row>
    <row r="3">
      <c r="A3" s="3" t="s">
        <v>14</v>
      </c>
      <c r="B3" s="5" t="s">
        <v>973</v>
      </c>
    </row>
    <row r="4">
      <c r="A4" s="3" t="s">
        <v>17</v>
      </c>
      <c r="B4" s="5" t="s">
        <v>974</v>
      </c>
      <c r="J4" s="18" t="s">
        <v>20</v>
      </c>
    </row>
    <row r="5">
      <c r="A5" s="3" t="s">
        <v>26</v>
      </c>
      <c r="B5" s="19">
        <v>5.0</v>
      </c>
      <c r="J5" s="24" t="s">
        <v>30</v>
      </c>
    </row>
    <row r="6">
      <c r="A6" s="3" t="s">
        <v>34</v>
      </c>
      <c r="B6" s="19">
        <v>5.0</v>
      </c>
    </row>
    <row r="7">
      <c r="A7" s="3" t="s">
        <v>36</v>
      </c>
      <c r="B7" s="5" t="s">
        <v>981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33" t="s">
        <v>194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987</v>
      </c>
    </row>
    <row r="12">
      <c r="A12" s="69" t="s">
        <v>989</v>
      </c>
      <c r="B12" s="69">
        <v>1.30222E7</v>
      </c>
      <c r="C12" s="69" t="b">
        <v>0</v>
      </c>
      <c r="D12" s="69" t="s">
        <v>58</v>
      </c>
      <c r="E12" s="63">
        <v>1.0</v>
      </c>
      <c r="F12" s="63">
        <v>50.0</v>
      </c>
      <c r="G12" s="299"/>
      <c r="H12" s="100" t="s">
        <v>333</v>
      </c>
      <c r="I12" s="37"/>
      <c r="J12" s="41"/>
    </row>
    <row r="13">
      <c r="A13" s="331" t="s">
        <v>194</v>
      </c>
      <c r="B13" s="331">
        <v>1.30226E7</v>
      </c>
      <c r="C13" s="69" t="b">
        <v>0</v>
      </c>
      <c r="D13" s="69" t="s">
        <v>71</v>
      </c>
      <c r="E13" s="63">
        <v>1.0</v>
      </c>
      <c r="F13" s="63">
        <v>50.0</v>
      </c>
      <c r="G13" s="299"/>
      <c r="H13" s="292" t="s">
        <v>995</v>
      </c>
      <c r="I13" s="334" t="s">
        <v>997</v>
      </c>
      <c r="J13" s="41"/>
    </row>
    <row r="14">
      <c r="A14" s="331" t="s">
        <v>204</v>
      </c>
      <c r="B14" s="331">
        <v>1.302265E7</v>
      </c>
      <c r="C14" s="69" t="b">
        <v>1</v>
      </c>
      <c r="D14" s="69" t="s">
        <v>82</v>
      </c>
      <c r="E14" s="63">
        <v>1.0</v>
      </c>
      <c r="F14" s="63">
        <v>25.0</v>
      </c>
      <c r="G14" s="299"/>
      <c r="H14" s="292" t="s">
        <v>995</v>
      </c>
      <c r="I14" s="334" t="s">
        <v>997</v>
      </c>
      <c r="J14" s="45" t="s">
        <v>213</v>
      </c>
    </row>
    <row r="15">
      <c r="A15" s="331" t="s">
        <v>211</v>
      </c>
      <c r="B15" s="331">
        <v>1.30227E7</v>
      </c>
      <c r="C15" s="69" t="b">
        <v>0</v>
      </c>
      <c r="D15" s="69" t="s">
        <v>96</v>
      </c>
      <c r="E15" s="63">
        <v>2.0</v>
      </c>
      <c r="F15" s="63">
        <v>25.0</v>
      </c>
      <c r="G15" s="299"/>
      <c r="H15" s="292" t="s">
        <v>1007</v>
      </c>
      <c r="I15" s="334" t="s">
        <v>88</v>
      </c>
      <c r="J15" s="45" t="s">
        <v>213</v>
      </c>
    </row>
    <row r="16">
      <c r="A16" s="51"/>
      <c r="B16" s="52"/>
      <c r="C16" s="52"/>
      <c r="D16" s="52" t="s">
        <v>101</v>
      </c>
      <c r="E16" s="54">
        <f t="shared" ref="E16:F16" si="1">sum(E12:E15)</f>
        <v>5</v>
      </c>
      <c r="F16" s="54">
        <f t="shared" si="1"/>
        <v>150</v>
      </c>
      <c r="G16" s="54"/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26" t="s">
        <v>135</v>
      </c>
      <c r="J18" s="26"/>
    </row>
    <row r="19" ht="18.75" customHeight="1">
      <c r="A19" s="27" t="s">
        <v>1015</v>
      </c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1017</v>
      </c>
    </row>
    <row r="21">
      <c r="A21" s="339" t="s">
        <v>600</v>
      </c>
      <c r="B21" s="206">
        <v>3580200.0</v>
      </c>
      <c r="C21" s="191" t="b">
        <v>1</v>
      </c>
      <c r="D21" s="191" t="s">
        <v>71</v>
      </c>
      <c r="E21" s="194">
        <v>1.0</v>
      </c>
      <c r="F21" s="194">
        <v>60.0</v>
      </c>
      <c r="G21" s="194" t="s">
        <v>1021</v>
      </c>
      <c r="H21" s="194" t="s">
        <v>1023</v>
      </c>
      <c r="I21" s="194" t="s">
        <v>1024</v>
      </c>
      <c r="J21" s="196" t="s">
        <v>1025</v>
      </c>
    </row>
    <row r="22">
      <c r="A22" s="188" t="s">
        <v>868</v>
      </c>
      <c r="B22" s="191">
        <v>3580830.0</v>
      </c>
      <c r="C22" s="191" t="b">
        <v>1</v>
      </c>
      <c r="D22" s="191" t="s">
        <v>82</v>
      </c>
      <c r="E22" s="194">
        <v>1.0</v>
      </c>
      <c r="F22" s="194">
        <v>60.0</v>
      </c>
      <c r="G22" s="194">
        <v>22.0</v>
      </c>
      <c r="H22" s="194" t="s">
        <v>1029</v>
      </c>
      <c r="I22" s="340" t="s">
        <v>1030</v>
      </c>
      <c r="J22" s="196" t="s">
        <v>1031</v>
      </c>
    </row>
    <row r="23">
      <c r="A23" s="241" t="s">
        <v>604</v>
      </c>
      <c r="B23" s="206">
        <v>3581500.0</v>
      </c>
      <c r="C23" s="191" t="b">
        <v>1</v>
      </c>
      <c r="D23" s="191" t="s">
        <v>96</v>
      </c>
      <c r="E23" s="194">
        <v>1.0</v>
      </c>
      <c r="F23" s="194">
        <v>30.0</v>
      </c>
      <c r="G23" s="194">
        <v>30.0</v>
      </c>
      <c r="H23" s="194" t="s">
        <v>1029</v>
      </c>
      <c r="I23" s="340" t="s">
        <v>1030</v>
      </c>
      <c r="J23" s="196" t="s">
        <v>1034</v>
      </c>
    </row>
    <row r="24">
      <c r="A24" s="51"/>
      <c r="B24" s="52"/>
      <c r="C24" s="52"/>
      <c r="D24" s="52" t="s">
        <v>101</v>
      </c>
      <c r="E24" s="54">
        <f t="shared" ref="E24:F24" si="2">sum(E21:E23)</f>
        <v>3</v>
      </c>
      <c r="F24" s="54">
        <f t="shared" si="2"/>
        <v>150</v>
      </c>
      <c r="G24" s="54"/>
      <c r="H24" s="54"/>
      <c r="I24" s="54"/>
      <c r="J24" s="56"/>
    </row>
    <row r="25" ht="7.5" customHeight="1">
      <c r="A25" s="23"/>
      <c r="B25" s="23"/>
      <c r="C25" s="23"/>
      <c r="D25" s="23"/>
      <c r="E25" s="25"/>
      <c r="F25" s="23"/>
      <c r="G25" s="23"/>
      <c r="H25" s="23"/>
      <c r="I25" s="25"/>
      <c r="J25" s="23"/>
    </row>
    <row r="26" ht="18.75" customHeight="1">
      <c r="A26" s="26" t="s">
        <v>111</v>
      </c>
      <c r="J26" s="26"/>
    </row>
    <row r="27" ht="18.75" customHeight="1">
      <c r="A27" s="27" t="s">
        <v>540</v>
      </c>
      <c r="J27" s="27"/>
    </row>
    <row r="28">
      <c r="A28" s="28" t="s">
        <v>41</v>
      </c>
      <c r="B28" s="28" t="s">
        <v>42</v>
      </c>
      <c r="C28" s="29" t="s">
        <v>43</v>
      </c>
      <c r="D28" s="28" t="s">
        <v>46</v>
      </c>
      <c r="E28" s="29" t="s">
        <v>47</v>
      </c>
      <c r="F28" s="29" t="s">
        <v>48</v>
      </c>
      <c r="G28" s="29" t="s">
        <v>49</v>
      </c>
      <c r="H28" s="29" t="s">
        <v>50</v>
      </c>
      <c r="I28" s="29" t="s">
        <v>51</v>
      </c>
      <c r="J28" s="29" t="s">
        <v>1046</v>
      </c>
    </row>
    <row r="29">
      <c r="A29" s="183" t="s">
        <v>532</v>
      </c>
      <c r="B29" s="175">
        <v>1.30112E7</v>
      </c>
      <c r="C29" s="27" t="b">
        <v>1</v>
      </c>
      <c r="D29" s="27" t="s">
        <v>58</v>
      </c>
      <c r="E29" s="37">
        <v>1.0</v>
      </c>
      <c r="F29" s="37">
        <v>60.0</v>
      </c>
      <c r="G29" s="37"/>
      <c r="H29" s="85" t="s">
        <v>1049</v>
      </c>
      <c r="I29" s="341" t="s">
        <v>668</v>
      </c>
      <c r="J29" s="41"/>
    </row>
    <row r="30">
      <c r="A30" s="183" t="s">
        <v>539</v>
      </c>
      <c r="B30" s="175">
        <v>1.30166E7</v>
      </c>
      <c r="C30" s="27" t="b">
        <v>1</v>
      </c>
      <c r="D30" s="27" t="s">
        <v>71</v>
      </c>
      <c r="E30" s="37">
        <v>1.0</v>
      </c>
      <c r="F30" s="37">
        <v>90.0</v>
      </c>
      <c r="G30" s="37"/>
      <c r="H30" s="85" t="s">
        <v>1053</v>
      </c>
      <c r="I30" s="85" t="s">
        <v>1054</v>
      </c>
      <c r="J30" s="45" t="s">
        <v>1055</v>
      </c>
    </row>
    <row r="31">
      <c r="A31" s="183" t="s">
        <v>127</v>
      </c>
      <c r="B31" s="27">
        <v>1.30168E7</v>
      </c>
      <c r="C31" s="27" t="b">
        <v>1</v>
      </c>
      <c r="D31" s="27" t="s">
        <v>82</v>
      </c>
      <c r="E31" s="37">
        <v>1.0</v>
      </c>
      <c r="F31" s="37">
        <v>60.0</v>
      </c>
      <c r="G31" s="37"/>
      <c r="H31" s="85" t="s">
        <v>1049</v>
      </c>
      <c r="I31" s="341" t="s">
        <v>668</v>
      </c>
      <c r="J31" s="45" t="s">
        <v>1057</v>
      </c>
    </row>
    <row r="32">
      <c r="A32" s="175" t="s">
        <v>140</v>
      </c>
      <c r="B32" s="175">
        <v>1.27013E7</v>
      </c>
      <c r="C32" s="27" t="b">
        <v>1</v>
      </c>
      <c r="D32" s="27" t="s">
        <v>96</v>
      </c>
      <c r="E32" s="37">
        <v>2.0</v>
      </c>
      <c r="F32" s="37">
        <v>0.0</v>
      </c>
      <c r="G32" s="37"/>
      <c r="H32" s="85" t="s">
        <v>1053</v>
      </c>
      <c r="I32" s="85" t="s">
        <v>1054</v>
      </c>
      <c r="J32" s="41"/>
    </row>
    <row r="33">
      <c r="A33" s="51"/>
      <c r="B33" s="52"/>
      <c r="C33" s="52"/>
      <c r="D33" s="52" t="s">
        <v>101</v>
      </c>
      <c r="E33" s="54">
        <f t="shared" ref="E33:F33" si="3">sum(E29:E32)</f>
        <v>5</v>
      </c>
      <c r="F33" s="54">
        <f t="shared" si="3"/>
        <v>210</v>
      </c>
      <c r="G33" s="54"/>
      <c r="H33" s="54"/>
      <c r="I33" s="54"/>
      <c r="J33" s="56"/>
    </row>
    <row r="34" ht="7.5" customHeight="1">
      <c r="A34" s="23"/>
      <c r="B34" s="23"/>
      <c r="C34" s="23"/>
      <c r="D34" s="23"/>
      <c r="E34" s="25"/>
      <c r="F34" s="23"/>
      <c r="G34" s="23"/>
      <c r="H34" s="23"/>
      <c r="I34" s="25"/>
      <c r="J34" s="23"/>
    </row>
  </sheetData>
  <mergeCells count="15">
    <mergeCell ref="B6:I6"/>
    <mergeCell ref="B7:I7"/>
    <mergeCell ref="A9:I9"/>
    <mergeCell ref="A10:I10"/>
    <mergeCell ref="A18:I18"/>
    <mergeCell ref="A19:I19"/>
    <mergeCell ref="A26:I26"/>
    <mergeCell ref="A27:I27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5 D29:D32">
      <formula1>'Data Validation'!$A$2:$A$5</formula1>
    </dataValidation>
    <dataValidation type="list" allowBlank="1" sqref="E21:E23">
      <formula1>'Data Validation'!$B$2:$B$4</formula1>
    </dataValidation>
    <dataValidation type="list" allowBlank="1" sqref="E12:E15 E29:E32">
      <formula1>'Data Validation'!$B$2:$B$4</formula1>
    </dataValidation>
    <dataValidation type="list" allowBlank="1" sqref="D21:D23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1.5"/>
  </cols>
  <sheetData>
    <row r="1" ht="66.75" customHeight="1">
      <c r="A1" s="1" t="s">
        <v>968</v>
      </c>
      <c r="J1" s="2" t="s">
        <v>1</v>
      </c>
    </row>
    <row r="2">
      <c r="A2" s="3" t="s">
        <v>2</v>
      </c>
      <c r="B2" s="5" t="s">
        <v>217</v>
      </c>
      <c r="J2" s="13" t="s">
        <v>6</v>
      </c>
    </row>
    <row r="3">
      <c r="A3" s="3" t="s">
        <v>14</v>
      </c>
      <c r="B3" s="5" t="s">
        <v>972</v>
      </c>
    </row>
    <row r="4">
      <c r="A4" s="3" t="s">
        <v>17</v>
      </c>
      <c r="B4" s="5" t="s">
        <v>345</v>
      </c>
      <c r="J4" s="18" t="s">
        <v>20</v>
      </c>
    </row>
    <row r="5">
      <c r="A5" s="3" t="s">
        <v>26</v>
      </c>
      <c r="B5" s="5" t="s">
        <v>976</v>
      </c>
      <c r="J5" s="24" t="s">
        <v>30</v>
      </c>
    </row>
    <row r="6">
      <c r="A6" s="3" t="s">
        <v>34</v>
      </c>
      <c r="B6" s="5">
        <v>12.0</v>
      </c>
    </row>
    <row r="7">
      <c r="A7" s="3" t="s">
        <v>36</v>
      </c>
      <c r="B7" s="5" t="s">
        <v>613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984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988</v>
      </c>
    </row>
    <row r="12">
      <c r="A12" s="308" t="s">
        <v>990</v>
      </c>
      <c r="B12" s="329">
        <v>1.30272E7</v>
      </c>
      <c r="C12" s="330" t="b">
        <v>0</v>
      </c>
      <c r="D12" s="330" t="s">
        <v>58</v>
      </c>
      <c r="E12" s="332">
        <v>1.0</v>
      </c>
      <c r="F12" s="125"/>
      <c r="G12" s="125"/>
      <c r="H12" s="332" t="s">
        <v>992</v>
      </c>
      <c r="I12" s="332" t="s">
        <v>993</v>
      </c>
      <c r="J12" s="333" t="s">
        <v>992</v>
      </c>
    </row>
    <row r="13">
      <c r="A13" s="308" t="s">
        <v>601</v>
      </c>
      <c r="B13" s="330" t="s">
        <v>186</v>
      </c>
      <c r="C13" s="330" t="b">
        <v>1</v>
      </c>
      <c r="D13" s="330" t="s">
        <v>82</v>
      </c>
      <c r="E13" s="332">
        <v>1.0</v>
      </c>
      <c r="F13" s="332">
        <v>125.0</v>
      </c>
      <c r="G13" s="332">
        <v>0.0</v>
      </c>
      <c r="H13" s="332" t="s">
        <v>998</v>
      </c>
      <c r="I13" s="332" t="s">
        <v>999</v>
      </c>
      <c r="J13" s="335" t="s">
        <v>867</v>
      </c>
    </row>
    <row r="14">
      <c r="A14" s="308" t="s">
        <v>1004</v>
      </c>
      <c r="B14" s="330">
        <v>3580830.0</v>
      </c>
      <c r="C14" s="330" t="b">
        <v>1</v>
      </c>
      <c r="D14" s="330" t="s">
        <v>82</v>
      </c>
      <c r="E14" s="332">
        <v>1.0</v>
      </c>
      <c r="F14" s="332">
        <v>100.0</v>
      </c>
      <c r="G14" s="125"/>
      <c r="H14" s="332" t="s">
        <v>998</v>
      </c>
      <c r="I14" s="332" t="s">
        <v>999</v>
      </c>
      <c r="J14" s="242" t="s">
        <v>867</v>
      </c>
    </row>
    <row r="15">
      <c r="A15" s="308" t="s">
        <v>1006</v>
      </c>
      <c r="B15" s="309">
        <v>1.3028E7</v>
      </c>
      <c r="C15" s="330" t="b">
        <v>1</v>
      </c>
      <c r="D15" s="330" t="s">
        <v>96</v>
      </c>
      <c r="E15" s="332">
        <v>2.0</v>
      </c>
      <c r="F15" s="332">
        <v>50.0</v>
      </c>
      <c r="G15" s="125"/>
      <c r="H15" s="332" t="s">
        <v>998</v>
      </c>
      <c r="I15" s="332" t="s">
        <v>999</v>
      </c>
      <c r="J15" s="126"/>
    </row>
    <row r="16">
      <c r="A16" s="337" t="s">
        <v>1012</v>
      </c>
      <c r="B16" s="232">
        <v>1.3011111E7</v>
      </c>
      <c r="C16" s="330" t="b">
        <v>1</v>
      </c>
      <c r="D16" s="338" t="s">
        <v>96</v>
      </c>
      <c r="E16" s="194">
        <v>2.0</v>
      </c>
      <c r="F16" s="338">
        <v>25.0</v>
      </c>
      <c r="G16" s="194">
        <v>8.0</v>
      </c>
      <c r="H16" s="194" t="s">
        <v>998</v>
      </c>
      <c r="I16" s="194" t="s">
        <v>999</v>
      </c>
      <c r="J16" s="126"/>
    </row>
    <row r="17">
      <c r="A17" s="27"/>
      <c r="B17" s="27"/>
      <c r="C17" s="27"/>
      <c r="D17" s="27"/>
      <c r="E17" s="37"/>
      <c r="F17" s="37"/>
      <c r="G17" s="37"/>
      <c r="H17" s="37"/>
      <c r="I17" s="37"/>
      <c r="J17" s="268"/>
    </row>
    <row r="18">
      <c r="A18" s="27"/>
      <c r="B18" s="27"/>
      <c r="C18" s="27"/>
      <c r="D18" s="27"/>
      <c r="E18" s="37"/>
      <c r="F18" s="37"/>
      <c r="G18" s="37"/>
      <c r="H18" s="37"/>
      <c r="I18" s="37"/>
      <c r="J18" s="41"/>
    </row>
    <row r="19">
      <c r="A19" s="306"/>
      <c r="B19" s="306"/>
      <c r="C19" s="306"/>
      <c r="D19" s="306"/>
      <c r="E19" s="306"/>
      <c r="F19" s="306"/>
      <c r="G19" s="306"/>
      <c r="H19" s="306"/>
      <c r="I19" s="306"/>
      <c r="J19" s="41"/>
    </row>
    <row r="20">
      <c r="A20" s="51"/>
      <c r="B20" s="52"/>
      <c r="C20" s="52"/>
      <c r="D20" s="52" t="s">
        <v>101</v>
      </c>
      <c r="E20" s="54">
        <f t="shared" ref="E20:F20" si="1">sum(E13:E18)</f>
        <v>6</v>
      </c>
      <c r="F20" s="54">
        <f t="shared" si="1"/>
        <v>300</v>
      </c>
      <c r="G20" s="54"/>
      <c r="H20" s="54"/>
      <c r="I20" s="54"/>
      <c r="J20" s="56"/>
    </row>
    <row r="21" ht="7.5" customHeight="1">
      <c r="A21" s="23"/>
      <c r="B21" s="23"/>
      <c r="C21" s="23"/>
      <c r="D21" s="23"/>
      <c r="E21" s="25"/>
      <c r="F21" s="23"/>
      <c r="G21" s="23"/>
      <c r="H21" s="23"/>
      <c r="I21" s="25"/>
      <c r="J21" s="23"/>
    </row>
    <row r="22" ht="18.75" customHeight="1">
      <c r="A22" s="26" t="s">
        <v>135</v>
      </c>
      <c r="J22" s="26"/>
    </row>
    <row r="23" ht="18.75" customHeight="1">
      <c r="A23" s="27" t="s">
        <v>308</v>
      </c>
      <c r="J23" s="27"/>
    </row>
    <row r="24">
      <c r="A24" s="28" t="s">
        <v>41</v>
      </c>
      <c r="B24" s="28" t="s">
        <v>42</v>
      </c>
      <c r="C24" s="29" t="s">
        <v>43</v>
      </c>
      <c r="D24" s="28" t="s">
        <v>46</v>
      </c>
      <c r="E24" s="29" t="s">
        <v>47</v>
      </c>
      <c r="F24" s="29" t="s">
        <v>48</v>
      </c>
      <c r="G24" s="29" t="s">
        <v>49</v>
      </c>
      <c r="H24" s="29" t="s">
        <v>50</v>
      </c>
      <c r="I24" s="29" t="s">
        <v>51</v>
      </c>
      <c r="J24" s="29" t="s">
        <v>1033</v>
      </c>
    </row>
    <row r="25">
      <c r="A25" s="33" t="s">
        <v>53</v>
      </c>
      <c r="B25" s="27"/>
      <c r="C25" s="27" t="b">
        <v>0</v>
      </c>
      <c r="D25" s="27" t="s">
        <v>58</v>
      </c>
      <c r="E25" s="37">
        <v>1.0</v>
      </c>
      <c r="F25" s="37"/>
      <c r="G25" s="37"/>
      <c r="H25" s="85" t="s">
        <v>1035</v>
      </c>
      <c r="I25" s="85"/>
      <c r="J25" s="41"/>
    </row>
    <row r="26">
      <c r="A26" s="33" t="s">
        <v>1036</v>
      </c>
      <c r="B26" s="191"/>
      <c r="C26" s="27" t="b">
        <v>0</v>
      </c>
      <c r="D26" s="27"/>
      <c r="E26" s="37"/>
      <c r="F26" s="37"/>
      <c r="G26" s="37"/>
      <c r="H26" s="85" t="s">
        <v>1037</v>
      </c>
      <c r="I26" s="85"/>
      <c r="J26" s="45"/>
    </row>
    <row r="27">
      <c r="A27" s="33" t="s">
        <v>1038</v>
      </c>
      <c r="B27" s="191">
        <v>1.30121E7</v>
      </c>
      <c r="C27" s="27" t="b">
        <v>1</v>
      </c>
      <c r="D27" s="27" t="s">
        <v>82</v>
      </c>
      <c r="E27" s="37">
        <v>1.0</v>
      </c>
      <c r="F27" s="37">
        <v>75.0</v>
      </c>
      <c r="G27" s="37"/>
      <c r="H27" s="85" t="s">
        <v>1040</v>
      </c>
      <c r="I27" s="85" t="s">
        <v>899</v>
      </c>
      <c r="J27" s="45" t="s">
        <v>645</v>
      </c>
    </row>
    <row r="28">
      <c r="A28" s="33" t="s">
        <v>314</v>
      </c>
      <c r="B28" s="27"/>
      <c r="C28" s="27" t="b">
        <v>0</v>
      </c>
      <c r="D28" s="27" t="s">
        <v>96</v>
      </c>
      <c r="E28" s="37">
        <v>2.0</v>
      </c>
      <c r="F28" s="37"/>
      <c r="G28" s="37"/>
      <c r="H28" s="85" t="s">
        <v>1041</v>
      </c>
      <c r="I28" s="85"/>
      <c r="J28" s="41"/>
    </row>
    <row r="29">
      <c r="A29" s="51"/>
      <c r="B29" s="52"/>
      <c r="C29" s="52"/>
      <c r="D29" s="52" t="s">
        <v>101</v>
      </c>
      <c r="E29" s="54">
        <f>sum(E26:E28)</f>
        <v>3</v>
      </c>
      <c r="F29" s="54">
        <f>sum(F26:F27)</f>
        <v>75</v>
      </c>
      <c r="G29" s="54"/>
      <c r="H29" s="54"/>
      <c r="I29" s="54"/>
      <c r="J29" s="56"/>
    </row>
    <row r="30" ht="7.5" customHeight="1">
      <c r="A30" s="23"/>
      <c r="B30" s="23"/>
      <c r="C30" s="23"/>
      <c r="D30" s="23"/>
      <c r="E30" s="25"/>
      <c r="F30" s="23"/>
      <c r="G30" s="23"/>
      <c r="H30" s="23"/>
      <c r="I30" s="25"/>
      <c r="J30" s="23"/>
    </row>
  </sheetData>
  <mergeCells count="13">
    <mergeCell ref="B6:I6"/>
    <mergeCell ref="B7:I7"/>
    <mergeCell ref="A9:I9"/>
    <mergeCell ref="A10:I10"/>
    <mergeCell ref="A22:I22"/>
    <mergeCell ref="A23:I23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7:D18 D25:D28">
      <formula1>'Data Validation'!$A$2:$A$5</formula1>
    </dataValidation>
    <dataValidation type="list" allowBlank="1" sqref="E12:E16">
      <formula1>'Data Validation'!$B$2:$B$4</formula1>
    </dataValidation>
    <dataValidation type="list" allowBlank="1" sqref="E17:E18 E25:E28">
      <formula1>'Data Validation'!$B$2:$B$4</formula1>
    </dataValidation>
    <dataValidation type="list" allowBlank="1" sqref="D12:D16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5" footer="0.0" header="0.0" left="0.7" right="0.7" top="0.75"/>
  <pageSetup fitToHeight="0" paperSize="5" cellComments="atEnd" orientation="landscape" pageOrder="overThenDown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1" width="28.88"/>
  </cols>
  <sheetData>
    <row r="1" ht="66.75" customHeight="1">
      <c r="A1" s="342" t="s">
        <v>1061</v>
      </c>
      <c r="J1" s="344" t="s">
        <v>1</v>
      </c>
      <c r="K1" s="344"/>
    </row>
    <row r="2">
      <c r="A2" s="345" t="s">
        <v>2</v>
      </c>
      <c r="B2" s="5" t="s">
        <v>222</v>
      </c>
      <c r="J2" s="346" t="s">
        <v>6</v>
      </c>
      <c r="K2" s="347"/>
    </row>
    <row r="3">
      <c r="A3" s="345" t="s">
        <v>14</v>
      </c>
      <c r="B3" s="5" t="s">
        <v>1067</v>
      </c>
      <c r="K3" s="347"/>
    </row>
    <row r="4">
      <c r="A4" s="345" t="s">
        <v>17</v>
      </c>
      <c r="B4" s="5" t="s">
        <v>612</v>
      </c>
      <c r="J4" s="18" t="s">
        <v>20</v>
      </c>
      <c r="K4" s="170"/>
    </row>
    <row r="5">
      <c r="A5" s="345" t="s">
        <v>26</v>
      </c>
      <c r="B5" s="19">
        <v>6.0</v>
      </c>
      <c r="J5" s="24" t="s">
        <v>30</v>
      </c>
      <c r="K5" s="171"/>
    </row>
    <row r="6">
      <c r="A6" s="345" t="s">
        <v>34</v>
      </c>
      <c r="B6" s="19"/>
      <c r="K6" s="171"/>
    </row>
    <row r="7">
      <c r="A7" s="345" t="s">
        <v>36</v>
      </c>
      <c r="B7" s="349" t="s">
        <v>1077</v>
      </c>
      <c r="J7" s="22"/>
      <c r="K7" s="22"/>
    </row>
    <row r="8" ht="7.5" customHeight="1">
      <c r="A8" s="350"/>
      <c r="B8" s="23"/>
      <c r="C8" s="23"/>
      <c r="D8" s="23"/>
      <c r="E8" s="25"/>
      <c r="F8" s="23"/>
      <c r="G8" s="23"/>
      <c r="H8" s="23"/>
      <c r="I8" s="25"/>
      <c r="J8" s="23"/>
      <c r="K8" s="23"/>
    </row>
    <row r="9" ht="18.75" customHeight="1">
      <c r="A9" s="351" t="s">
        <v>1081</v>
      </c>
      <c r="J9" s="26"/>
      <c r="K9" s="26"/>
    </row>
    <row r="10" ht="18.75" customHeight="1">
      <c r="A10" s="90"/>
      <c r="J10" s="27"/>
      <c r="K10" s="27"/>
    </row>
    <row r="11">
      <c r="A11" s="352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1085</v>
      </c>
      <c r="K11" s="29"/>
    </row>
    <row r="12">
      <c r="A12" s="353" t="s">
        <v>1087</v>
      </c>
      <c r="B12" s="354">
        <v>1.30112E7</v>
      </c>
      <c r="C12" s="306" t="b">
        <v>0</v>
      </c>
      <c r="D12" s="43" t="s">
        <v>58</v>
      </c>
      <c r="E12" s="355">
        <v>1.0</v>
      </c>
      <c r="F12" s="355">
        <v>184.0</v>
      </c>
      <c r="G12" s="355"/>
      <c r="H12" s="147" t="s">
        <v>1089</v>
      </c>
      <c r="I12" s="147" t="s">
        <v>1090</v>
      </c>
      <c r="J12" s="268"/>
      <c r="K12" s="268"/>
    </row>
    <row r="13">
      <c r="A13" s="356" t="s">
        <v>1091</v>
      </c>
      <c r="B13" s="357">
        <v>1.30114E7</v>
      </c>
      <c r="C13" s="306" t="b">
        <v>0</v>
      </c>
      <c r="D13" s="43" t="s">
        <v>58</v>
      </c>
      <c r="E13" s="355">
        <v>0.5</v>
      </c>
      <c r="F13" s="355">
        <v>133.0</v>
      </c>
      <c r="G13" s="355"/>
      <c r="H13" s="147" t="s">
        <v>1092</v>
      </c>
      <c r="I13" s="118"/>
      <c r="J13" s="358" t="s">
        <v>356</v>
      </c>
      <c r="K13" s="358"/>
    </row>
    <row r="14">
      <c r="A14" s="356" t="s">
        <v>1094</v>
      </c>
      <c r="B14" s="357">
        <v>1.30166E7</v>
      </c>
      <c r="C14" s="306" t="b">
        <v>0</v>
      </c>
      <c r="D14" s="43" t="s">
        <v>71</v>
      </c>
      <c r="E14" s="359">
        <v>0.5</v>
      </c>
      <c r="F14" s="355">
        <v>25.0</v>
      </c>
      <c r="G14" s="355"/>
      <c r="H14" s="147" t="s">
        <v>1096</v>
      </c>
      <c r="I14" s="118" t="s">
        <v>441</v>
      </c>
      <c r="J14" s="358" t="s">
        <v>1098</v>
      </c>
      <c r="K14" s="358"/>
    </row>
    <row r="15">
      <c r="A15" s="356" t="s">
        <v>1099</v>
      </c>
      <c r="B15" s="357">
        <v>1.30166E7</v>
      </c>
      <c r="C15" s="306" t="b">
        <v>0</v>
      </c>
      <c r="D15" s="43" t="s">
        <v>71</v>
      </c>
      <c r="E15" s="359">
        <v>0.5</v>
      </c>
      <c r="F15" s="355">
        <v>25.0</v>
      </c>
      <c r="G15" s="355"/>
      <c r="H15" s="147" t="s">
        <v>1096</v>
      </c>
      <c r="I15" s="118" t="s">
        <v>441</v>
      </c>
      <c r="J15" s="358" t="s">
        <v>1098</v>
      </c>
      <c r="K15" s="358"/>
    </row>
    <row r="16">
      <c r="A16" s="353" t="s">
        <v>1102</v>
      </c>
      <c r="B16" s="354">
        <v>1.30168E7</v>
      </c>
      <c r="C16" s="306" t="b">
        <v>0</v>
      </c>
      <c r="D16" s="43" t="s">
        <v>82</v>
      </c>
      <c r="E16" s="359">
        <v>1.0</v>
      </c>
      <c r="F16" s="355">
        <v>55.0</v>
      </c>
      <c r="G16" s="355"/>
      <c r="H16" s="360" t="s">
        <v>1104</v>
      </c>
      <c r="I16" s="118" t="s">
        <v>686</v>
      </c>
      <c r="J16" s="268"/>
      <c r="K16" s="268"/>
    </row>
    <row r="17">
      <c r="A17" s="356" t="s">
        <v>1105</v>
      </c>
      <c r="B17" s="357">
        <v>1.30167E7</v>
      </c>
      <c r="C17" s="306" t="b">
        <v>0</v>
      </c>
      <c r="D17" s="43" t="s">
        <v>82</v>
      </c>
      <c r="E17" s="355">
        <v>0.5</v>
      </c>
      <c r="F17" s="355">
        <v>30.0</v>
      </c>
      <c r="G17" s="355"/>
      <c r="H17" s="147" t="s">
        <v>1096</v>
      </c>
      <c r="I17" s="118" t="s">
        <v>441</v>
      </c>
      <c r="J17" s="358" t="s">
        <v>1108</v>
      </c>
      <c r="K17" s="358"/>
    </row>
    <row r="18">
      <c r="A18" s="353" t="s">
        <v>1109</v>
      </c>
      <c r="B18" s="357">
        <v>1.30164E7</v>
      </c>
      <c r="C18" s="306" t="b">
        <v>0</v>
      </c>
      <c r="D18" s="43" t="s">
        <v>96</v>
      </c>
      <c r="E18" s="359">
        <v>1.0</v>
      </c>
      <c r="F18" s="359"/>
      <c r="G18" s="355"/>
      <c r="H18" s="147" t="s">
        <v>1092</v>
      </c>
      <c r="I18" s="118" t="s">
        <v>686</v>
      </c>
      <c r="J18" s="268"/>
      <c r="K18" s="268"/>
    </row>
    <row r="19">
      <c r="A19" s="356" t="s">
        <v>591</v>
      </c>
      <c r="B19" s="357"/>
      <c r="C19" s="306" t="b">
        <v>0</v>
      </c>
      <c r="D19" s="43"/>
      <c r="E19" s="359"/>
      <c r="F19" s="355"/>
      <c r="G19" s="355"/>
      <c r="H19" s="147" t="s">
        <v>1114</v>
      </c>
      <c r="I19" s="118" t="s">
        <v>686</v>
      </c>
      <c r="J19" s="268"/>
      <c r="K19" s="268"/>
    </row>
    <row r="20">
      <c r="A20" s="353" t="s">
        <v>1115</v>
      </c>
      <c r="B20" s="357" t="s">
        <v>429</v>
      </c>
      <c r="C20" s="306" t="b">
        <v>0</v>
      </c>
      <c r="D20" s="43" t="s">
        <v>96</v>
      </c>
      <c r="E20" s="359">
        <v>2.0</v>
      </c>
      <c r="F20" s="355">
        <v>45.0</v>
      </c>
      <c r="G20" s="355"/>
      <c r="H20" s="359"/>
      <c r="I20" s="359"/>
      <c r="J20" s="268"/>
      <c r="K20" s="268"/>
    </row>
    <row r="21">
      <c r="A21" s="361"/>
      <c r="B21" s="52"/>
      <c r="C21" s="52"/>
      <c r="D21" s="52" t="s">
        <v>101</v>
      </c>
      <c r="E21" s="211">
        <f>SUM(E12:E20)</f>
        <v>7</v>
      </c>
      <c r="F21" s="211">
        <v>65.0</v>
      </c>
      <c r="G21" s="211"/>
      <c r="H21" s="54"/>
      <c r="I21" s="54"/>
      <c r="J21" s="56"/>
      <c r="K21" s="56"/>
    </row>
    <row r="22" ht="7.5" customHeight="1">
      <c r="A22" s="350"/>
      <c r="B22" s="23"/>
      <c r="C22" s="23"/>
      <c r="D22" s="23"/>
      <c r="E22" s="25"/>
      <c r="F22" s="23"/>
      <c r="G22" s="23"/>
      <c r="H22" s="23"/>
      <c r="I22" s="25"/>
      <c r="J22" s="23"/>
      <c r="K22" s="23"/>
    </row>
    <row r="23" ht="18.75" customHeight="1">
      <c r="A23" s="351" t="s">
        <v>1118</v>
      </c>
      <c r="J23" s="26"/>
      <c r="K23" s="26"/>
    </row>
    <row r="24" ht="18.75" customHeight="1">
      <c r="A24" s="90"/>
      <c r="J24" s="27"/>
      <c r="K24" s="27"/>
    </row>
    <row r="25">
      <c r="A25" s="352" t="s">
        <v>41</v>
      </c>
      <c r="B25" s="28" t="s">
        <v>42</v>
      </c>
      <c r="C25" s="29" t="s">
        <v>43</v>
      </c>
      <c r="D25" s="28" t="s">
        <v>46</v>
      </c>
      <c r="E25" s="29" t="s">
        <v>47</v>
      </c>
      <c r="F25" s="29" t="s">
        <v>48</v>
      </c>
      <c r="G25" s="29" t="s">
        <v>49</v>
      </c>
      <c r="H25" s="29" t="s">
        <v>50</v>
      </c>
      <c r="I25" s="29" t="s">
        <v>51</v>
      </c>
      <c r="J25" s="29" t="s">
        <v>1122</v>
      </c>
      <c r="K25" s="29"/>
    </row>
    <row r="26">
      <c r="A26" s="353" t="s">
        <v>1124</v>
      </c>
      <c r="B26" s="362">
        <v>1.30112E7</v>
      </c>
      <c r="C26" s="306" t="b">
        <v>0</v>
      </c>
      <c r="D26" s="106" t="s">
        <v>58</v>
      </c>
      <c r="E26" s="359">
        <v>1.0</v>
      </c>
      <c r="F26" s="355">
        <v>129.0</v>
      </c>
      <c r="G26" s="355"/>
      <c r="H26" s="147" t="s">
        <v>1089</v>
      </c>
      <c r="I26" s="118" t="s">
        <v>1127</v>
      </c>
      <c r="J26" s="268"/>
      <c r="K26" s="268"/>
    </row>
    <row r="27">
      <c r="A27" s="356" t="s">
        <v>1128</v>
      </c>
      <c r="B27" s="363">
        <v>1.30114E7</v>
      </c>
      <c r="C27" s="306" t="b">
        <v>0</v>
      </c>
      <c r="D27" s="106" t="s">
        <v>58</v>
      </c>
      <c r="E27" s="355">
        <v>0.5</v>
      </c>
      <c r="F27" s="355">
        <v>132.0</v>
      </c>
      <c r="G27" s="355"/>
      <c r="H27" s="355" t="s">
        <v>1130</v>
      </c>
      <c r="I27" s="118" t="s">
        <v>441</v>
      </c>
      <c r="J27" s="268"/>
      <c r="K27" s="268"/>
    </row>
    <row r="28">
      <c r="A28" s="356" t="s">
        <v>78</v>
      </c>
      <c r="B28" s="364">
        <v>1.30344E7</v>
      </c>
      <c r="C28" s="306" t="b">
        <v>0</v>
      </c>
      <c r="D28" s="106" t="s">
        <v>71</v>
      </c>
      <c r="E28" s="359">
        <v>1.0</v>
      </c>
      <c r="F28" s="355">
        <v>45.0</v>
      </c>
      <c r="G28" s="355"/>
      <c r="H28" s="355" t="s">
        <v>1131</v>
      </c>
      <c r="I28" s="118" t="s">
        <v>686</v>
      </c>
      <c r="J28" s="358" t="s">
        <v>75</v>
      </c>
      <c r="K28" s="358"/>
    </row>
    <row r="29">
      <c r="A29" s="365" t="s">
        <v>1132</v>
      </c>
      <c r="B29" s="366">
        <v>1.241192E7</v>
      </c>
      <c r="C29" s="367" t="b">
        <v>0</v>
      </c>
      <c r="D29" s="368" t="s">
        <v>71</v>
      </c>
      <c r="E29" s="369">
        <v>1.0</v>
      </c>
      <c r="F29" s="370">
        <v>45.0</v>
      </c>
      <c r="G29" s="370"/>
      <c r="H29" s="370" t="s">
        <v>1131</v>
      </c>
      <c r="I29" s="371"/>
      <c r="J29" s="372"/>
      <c r="K29" s="372"/>
    </row>
    <row r="30">
      <c r="A30" s="353" t="s">
        <v>1135</v>
      </c>
      <c r="B30" s="363" t="s">
        <v>311</v>
      </c>
      <c r="C30" s="306" t="b">
        <v>0</v>
      </c>
      <c r="D30" s="106" t="s">
        <v>82</v>
      </c>
      <c r="E30" s="359">
        <v>1.0</v>
      </c>
      <c r="F30" s="359"/>
      <c r="G30" s="355"/>
      <c r="H30" s="373" t="s">
        <v>333</v>
      </c>
      <c r="I30" s="136"/>
      <c r="J30" s="268"/>
      <c r="K30" s="268"/>
    </row>
    <row r="31">
      <c r="A31" s="353" t="s">
        <v>1137</v>
      </c>
      <c r="B31" s="363" t="s">
        <v>429</v>
      </c>
      <c r="C31" s="306" t="b">
        <v>0</v>
      </c>
      <c r="D31" s="106" t="s">
        <v>96</v>
      </c>
      <c r="E31" s="359">
        <v>2.0</v>
      </c>
      <c r="F31" s="355">
        <v>45.0</v>
      </c>
      <c r="G31" s="355"/>
      <c r="H31" s="355" t="s">
        <v>1114</v>
      </c>
      <c r="I31" s="136" t="s">
        <v>1138</v>
      </c>
      <c r="J31" s="268"/>
      <c r="K31" s="268"/>
    </row>
    <row r="32">
      <c r="A32" s="361"/>
      <c r="B32" s="52"/>
      <c r="C32" s="52"/>
      <c r="D32" s="52" t="s">
        <v>101</v>
      </c>
      <c r="E32" s="211">
        <f>SUM(E26:E31)</f>
        <v>6.5</v>
      </c>
      <c r="F32" s="211">
        <v>75.0</v>
      </c>
      <c r="G32" s="211"/>
      <c r="H32" s="54"/>
      <c r="I32" s="54"/>
      <c r="J32" s="56"/>
      <c r="K32" s="56"/>
    </row>
    <row r="33" ht="7.5" customHeight="1">
      <c r="A33" s="350"/>
      <c r="B33" s="23"/>
      <c r="C33" s="23"/>
      <c r="D33" s="23"/>
      <c r="E33" s="25"/>
      <c r="F33" s="23"/>
      <c r="G33" s="23"/>
      <c r="H33" s="23"/>
      <c r="I33" s="25"/>
      <c r="J33" s="23"/>
      <c r="K33" s="23"/>
    </row>
    <row r="34" ht="18.75" customHeight="1">
      <c r="A34" s="351" t="s">
        <v>1141</v>
      </c>
      <c r="J34" s="26"/>
      <c r="K34" s="26"/>
    </row>
    <row r="35" ht="18.75" customHeight="1">
      <c r="A35" s="90"/>
      <c r="J35" s="27"/>
      <c r="K35" s="27"/>
    </row>
    <row r="36">
      <c r="A36" s="352" t="s">
        <v>41</v>
      </c>
      <c r="B36" s="28" t="s">
        <v>42</v>
      </c>
      <c r="C36" s="29" t="s">
        <v>43</v>
      </c>
      <c r="D36" s="28" t="s">
        <v>46</v>
      </c>
      <c r="E36" s="29" t="s">
        <v>47</v>
      </c>
      <c r="F36" s="29" t="s">
        <v>48</v>
      </c>
      <c r="G36" s="29" t="s">
        <v>49</v>
      </c>
      <c r="H36" s="29" t="s">
        <v>50</v>
      </c>
      <c r="I36" s="29" t="s">
        <v>51</v>
      </c>
      <c r="J36" s="29" t="s">
        <v>1143</v>
      </c>
      <c r="K36" s="29"/>
    </row>
    <row r="37">
      <c r="A37" s="353" t="s">
        <v>1144</v>
      </c>
      <c r="B37" s="362">
        <v>1.30112E7</v>
      </c>
      <c r="C37" s="306" t="b">
        <v>0</v>
      </c>
      <c r="D37" s="106" t="s">
        <v>58</v>
      </c>
      <c r="E37" s="359">
        <v>1.0</v>
      </c>
      <c r="F37" s="355">
        <v>129.0</v>
      </c>
      <c r="G37" s="355"/>
      <c r="H37" s="147" t="s">
        <v>1089</v>
      </c>
      <c r="I37" s="147" t="s">
        <v>1090</v>
      </c>
      <c r="J37" s="268"/>
      <c r="K37" s="268"/>
    </row>
    <row r="38">
      <c r="A38" s="353" t="s">
        <v>1147</v>
      </c>
      <c r="B38" s="363" t="s">
        <v>70</v>
      </c>
      <c r="C38" s="306" t="b">
        <v>0</v>
      </c>
      <c r="D38" s="106" t="s">
        <v>71</v>
      </c>
      <c r="E38" s="359">
        <v>1.0</v>
      </c>
      <c r="F38" s="355">
        <v>23.0</v>
      </c>
      <c r="G38" s="355"/>
      <c r="H38" s="147" t="s">
        <v>1149</v>
      </c>
      <c r="I38" s="147" t="s">
        <v>1150</v>
      </c>
      <c r="J38" s="45" t="s">
        <v>75</v>
      </c>
      <c r="K38" s="45"/>
    </row>
    <row r="39" ht="25.5" customHeight="1">
      <c r="A39" s="356" t="s">
        <v>1151</v>
      </c>
      <c r="B39" s="363"/>
      <c r="C39" s="306" t="b">
        <v>0</v>
      </c>
      <c r="D39" s="106" t="s">
        <v>82</v>
      </c>
      <c r="E39" s="355">
        <v>1.0</v>
      </c>
      <c r="F39" s="355"/>
      <c r="G39" s="355"/>
      <c r="H39" s="147" t="s">
        <v>1149</v>
      </c>
      <c r="I39" s="147" t="s">
        <v>1150</v>
      </c>
      <c r="J39" s="268"/>
      <c r="K39" s="268"/>
    </row>
    <row r="40" ht="25.5" customHeight="1">
      <c r="A40" s="353" t="s">
        <v>1153</v>
      </c>
      <c r="B40" s="363" t="s">
        <v>415</v>
      </c>
      <c r="C40" s="306" t="b">
        <v>0</v>
      </c>
      <c r="D40" s="106" t="s">
        <v>82</v>
      </c>
      <c r="E40" s="359">
        <v>2.0</v>
      </c>
      <c r="F40" s="355">
        <v>30.0</v>
      </c>
      <c r="G40" s="355"/>
      <c r="H40" s="147" t="s">
        <v>1149</v>
      </c>
      <c r="I40" s="147" t="s">
        <v>1150</v>
      </c>
      <c r="J40" s="268"/>
      <c r="K40" s="268"/>
    </row>
    <row r="41">
      <c r="A41" s="353" t="s">
        <v>1155</v>
      </c>
      <c r="B41" s="363">
        <v>1.30348E7</v>
      </c>
      <c r="C41" s="306" t="b">
        <v>0</v>
      </c>
      <c r="D41" s="106" t="s">
        <v>96</v>
      </c>
      <c r="E41" s="359">
        <v>2.0</v>
      </c>
      <c r="F41" s="355">
        <v>53.0</v>
      </c>
      <c r="G41" s="355"/>
      <c r="H41" s="147" t="s">
        <v>1157</v>
      </c>
      <c r="I41" s="147" t="s">
        <v>1158</v>
      </c>
      <c r="J41" s="268"/>
      <c r="K41" s="268"/>
    </row>
    <row r="42">
      <c r="A42" s="361"/>
      <c r="B42" s="52"/>
      <c r="C42" s="52"/>
      <c r="D42" s="52" t="s">
        <v>101</v>
      </c>
      <c r="E42" s="211">
        <f>sum(E37:E41)</f>
        <v>7</v>
      </c>
      <c r="F42" s="211">
        <v>50.0</v>
      </c>
      <c r="G42" s="211"/>
      <c r="H42" s="54"/>
      <c r="I42" s="54"/>
      <c r="J42" s="56"/>
      <c r="K42" s="56"/>
    </row>
    <row r="43" ht="7.5" customHeight="1">
      <c r="A43" s="350"/>
      <c r="B43" s="23"/>
      <c r="C43" s="23"/>
      <c r="D43" s="23"/>
      <c r="E43" s="25"/>
      <c r="F43" s="23"/>
      <c r="G43" s="23"/>
      <c r="H43" s="23"/>
      <c r="I43" s="25"/>
      <c r="J43" s="23"/>
      <c r="K43" s="23"/>
    </row>
    <row r="44" ht="18.75" customHeight="1">
      <c r="A44" s="351" t="s">
        <v>1161</v>
      </c>
      <c r="J44" s="26"/>
      <c r="K44" s="26"/>
    </row>
    <row r="45" ht="18.75" customHeight="1">
      <c r="A45" s="90"/>
      <c r="J45" s="27"/>
      <c r="K45" s="27"/>
    </row>
    <row r="46">
      <c r="A46" s="352" t="s">
        <v>41</v>
      </c>
      <c r="B46" s="28" t="s">
        <v>42</v>
      </c>
      <c r="C46" s="29" t="s">
        <v>43</v>
      </c>
      <c r="D46" s="28" t="s">
        <v>46</v>
      </c>
      <c r="E46" s="29" t="s">
        <v>47</v>
      </c>
      <c r="F46" s="29" t="s">
        <v>48</v>
      </c>
      <c r="G46" s="29" t="s">
        <v>49</v>
      </c>
      <c r="H46" s="29" t="s">
        <v>50</v>
      </c>
      <c r="I46" s="29" t="s">
        <v>51</v>
      </c>
      <c r="J46" s="29" t="s">
        <v>1163</v>
      </c>
      <c r="K46" s="29"/>
    </row>
    <row r="47">
      <c r="A47" s="353" t="s">
        <v>1164</v>
      </c>
      <c r="B47" s="362">
        <v>1.30112E7</v>
      </c>
      <c r="C47" s="306" t="b">
        <v>0</v>
      </c>
      <c r="D47" s="106" t="s">
        <v>58</v>
      </c>
      <c r="E47" s="359">
        <v>1.0</v>
      </c>
      <c r="F47" s="355">
        <v>129.0</v>
      </c>
      <c r="G47" s="355"/>
      <c r="H47" s="147" t="s">
        <v>1089</v>
      </c>
      <c r="I47" s="147" t="s">
        <v>1090</v>
      </c>
      <c r="J47" s="374"/>
      <c r="K47" s="374"/>
    </row>
    <row r="48">
      <c r="A48" s="356" t="s">
        <v>1165</v>
      </c>
      <c r="B48" s="363">
        <v>1.30114E7</v>
      </c>
      <c r="C48" s="306" t="b">
        <v>0</v>
      </c>
      <c r="D48" s="106" t="s">
        <v>58</v>
      </c>
      <c r="E48" s="355">
        <v>0.5</v>
      </c>
      <c r="F48" s="355">
        <v>133.0</v>
      </c>
      <c r="G48" s="355"/>
      <c r="H48" s="147" t="s">
        <v>1092</v>
      </c>
      <c r="I48" s="118" t="s">
        <v>441</v>
      </c>
      <c r="J48" s="274" t="s">
        <v>1170</v>
      </c>
      <c r="K48" s="274"/>
    </row>
    <row r="49">
      <c r="A49" s="353" t="s">
        <v>1171</v>
      </c>
      <c r="B49" s="362">
        <v>1.30121E7</v>
      </c>
      <c r="C49" s="306" t="b">
        <v>0</v>
      </c>
      <c r="D49" s="106" t="s">
        <v>82</v>
      </c>
      <c r="E49" s="359">
        <v>1.0</v>
      </c>
      <c r="F49" s="355">
        <v>25.0</v>
      </c>
      <c r="G49" s="355"/>
      <c r="H49" s="147" t="s">
        <v>1131</v>
      </c>
      <c r="I49" s="118" t="s">
        <v>899</v>
      </c>
      <c r="J49" s="45" t="s">
        <v>645</v>
      </c>
      <c r="K49" s="45"/>
    </row>
    <row r="50">
      <c r="A50" s="356" t="s">
        <v>1172</v>
      </c>
      <c r="B50" s="363">
        <v>1.30118E7</v>
      </c>
      <c r="C50" s="306" t="b">
        <v>0</v>
      </c>
      <c r="D50" s="106" t="s">
        <v>82</v>
      </c>
      <c r="E50" s="359">
        <v>0.5</v>
      </c>
      <c r="F50" s="355">
        <v>50.0</v>
      </c>
      <c r="G50" s="355"/>
      <c r="H50" s="147" t="s">
        <v>1096</v>
      </c>
      <c r="I50" s="118" t="s">
        <v>441</v>
      </c>
      <c r="J50" s="374"/>
      <c r="K50" s="374"/>
    </row>
    <row r="51">
      <c r="A51" s="356" t="s">
        <v>290</v>
      </c>
      <c r="B51" s="362"/>
      <c r="C51" s="306" t="b">
        <v>0</v>
      </c>
      <c r="D51" s="106"/>
      <c r="E51" s="355">
        <v>0.5</v>
      </c>
      <c r="F51" s="355"/>
      <c r="G51" s="355"/>
      <c r="H51" s="147" t="s">
        <v>1130</v>
      </c>
      <c r="I51" s="118" t="s">
        <v>441</v>
      </c>
      <c r="J51" s="374"/>
      <c r="K51" s="374"/>
    </row>
    <row r="52">
      <c r="A52" s="353" t="s">
        <v>1176</v>
      </c>
      <c r="B52" s="362">
        <v>1.30117E7</v>
      </c>
      <c r="C52" s="306" t="b">
        <v>0</v>
      </c>
      <c r="D52" s="106" t="s">
        <v>71</v>
      </c>
      <c r="E52" s="359">
        <v>1.0</v>
      </c>
      <c r="F52" s="355">
        <v>126.0</v>
      </c>
      <c r="G52" s="355"/>
      <c r="H52" s="147" t="s">
        <v>1131</v>
      </c>
      <c r="I52" s="118" t="s">
        <v>899</v>
      </c>
      <c r="J52" s="374"/>
      <c r="K52" s="374"/>
    </row>
    <row r="53">
      <c r="A53" s="353" t="s">
        <v>1177</v>
      </c>
      <c r="B53" s="363">
        <v>1.30122E7</v>
      </c>
      <c r="C53" s="306" t="b">
        <v>0</v>
      </c>
      <c r="D53" s="106" t="s">
        <v>96</v>
      </c>
      <c r="E53" s="359">
        <v>2.0</v>
      </c>
      <c r="F53" s="355">
        <v>30.0</v>
      </c>
      <c r="G53" s="355"/>
      <c r="H53" s="147" t="s">
        <v>1181</v>
      </c>
      <c r="I53" s="118" t="s">
        <v>899</v>
      </c>
      <c r="J53" s="374"/>
      <c r="K53" s="374"/>
    </row>
    <row r="54">
      <c r="A54" s="361"/>
      <c r="B54" s="52"/>
      <c r="C54" s="52"/>
      <c r="D54" s="52" t="s">
        <v>101</v>
      </c>
      <c r="E54" s="211">
        <f>SUM(E47:E53)</f>
        <v>6.5</v>
      </c>
      <c r="F54" s="211">
        <v>75.0</v>
      </c>
      <c r="G54" s="211"/>
      <c r="H54" s="54"/>
      <c r="I54" s="54"/>
      <c r="J54" s="56"/>
      <c r="K54" s="56"/>
    </row>
    <row r="55" ht="7.5" customHeight="1">
      <c r="A55" s="350"/>
      <c r="B55" s="23"/>
      <c r="C55" s="23"/>
      <c r="D55" s="23"/>
      <c r="E55" s="25"/>
      <c r="F55" s="23"/>
      <c r="G55" s="23"/>
      <c r="H55" s="23"/>
      <c r="I55" s="25"/>
      <c r="J55" s="23"/>
      <c r="K55" s="23"/>
    </row>
    <row r="56" ht="18.75" customHeight="1">
      <c r="A56" s="351" t="s">
        <v>1184</v>
      </c>
      <c r="J56" s="26"/>
      <c r="K56" s="26"/>
    </row>
    <row r="57" ht="18.75" customHeight="1">
      <c r="A57" s="90"/>
      <c r="J57" s="27"/>
      <c r="K57" s="27"/>
    </row>
    <row r="58">
      <c r="A58" s="352" t="s">
        <v>41</v>
      </c>
      <c r="B58" s="28" t="s">
        <v>42</v>
      </c>
      <c r="C58" s="29" t="s">
        <v>43</v>
      </c>
      <c r="D58" s="28" t="s">
        <v>46</v>
      </c>
      <c r="E58" s="29" t="s">
        <v>47</v>
      </c>
      <c r="F58" s="29" t="s">
        <v>48</v>
      </c>
      <c r="G58" s="29" t="s">
        <v>49</v>
      </c>
      <c r="H58" s="29" t="s">
        <v>50</v>
      </c>
      <c r="I58" s="29" t="s">
        <v>51</v>
      </c>
      <c r="J58" s="29" t="s">
        <v>1186</v>
      </c>
      <c r="K58" s="29"/>
    </row>
    <row r="59">
      <c r="A59" s="353" t="s">
        <v>1144</v>
      </c>
      <c r="B59" s="362">
        <v>1.30112E7</v>
      </c>
      <c r="C59" s="306" t="b">
        <v>0</v>
      </c>
      <c r="D59" s="106" t="s">
        <v>58</v>
      </c>
      <c r="E59" s="359">
        <v>1.0</v>
      </c>
      <c r="F59" s="355">
        <v>129.0</v>
      </c>
      <c r="G59" s="355"/>
      <c r="H59" s="147" t="s">
        <v>1089</v>
      </c>
      <c r="I59" s="147" t="s">
        <v>1090</v>
      </c>
      <c r="J59" s="374"/>
      <c r="K59" s="374"/>
    </row>
    <row r="60">
      <c r="A60" s="356" t="s">
        <v>1189</v>
      </c>
      <c r="B60" s="363"/>
      <c r="C60" s="306" t="b">
        <v>0</v>
      </c>
      <c r="D60" s="106" t="s">
        <v>71</v>
      </c>
      <c r="E60" s="355">
        <v>1.0</v>
      </c>
      <c r="F60" s="355"/>
      <c r="G60" s="355"/>
      <c r="H60" s="147" t="s">
        <v>1096</v>
      </c>
      <c r="I60" s="118"/>
      <c r="J60" s="374"/>
      <c r="K60" s="374"/>
    </row>
    <row r="61">
      <c r="A61" s="353" t="s">
        <v>1192</v>
      </c>
      <c r="B61" s="363">
        <v>1.30342E7</v>
      </c>
      <c r="C61" s="306" t="b">
        <v>0</v>
      </c>
      <c r="D61" s="106" t="s">
        <v>82</v>
      </c>
      <c r="E61" s="359">
        <v>0.5</v>
      </c>
      <c r="F61" s="355">
        <v>45.0</v>
      </c>
      <c r="G61" s="355"/>
      <c r="H61" s="147" t="s">
        <v>1157</v>
      </c>
      <c r="I61" s="118" t="s">
        <v>1127</v>
      </c>
      <c r="J61" s="374"/>
      <c r="K61" s="374"/>
    </row>
    <row r="62">
      <c r="A62" s="353" t="s">
        <v>1195</v>
      </c>
      <c r="B62" s="363">
        <v>1.303465E7</v>
      </c>
      <c r="C62" s="306" t="b">
        <v>0</v>
      </c>
      <c r="D62" s="106" t="s">
        <v>82</v>
      </c>
      <c r="E62" s="359">
        <v>0.5</v>
      </c>
      <c r="F62" s="355">
        <v>40.0</v>
      </c>
      <c r="G62" s="355"/>
      <c r="H62" s="147"/>
      <c r="I62" s="118" t="s">
        <v>1127</v>
      </c>
      <c r="J62" s="274" t="s">
        <v>1200</v>
      </c>
      <c r="K62" s="274"/>
    </row>
    <row r="63">
      <c r="A63" s="353" t="s">
        <v>1201</v>
      </c>
      <c r="B63" s="363">
        <v>1.30347E7</v>
      </c>
      <c r="C63" s="306" t="b">
        <v>0</v>
      </c>
      <c r="D63" s="106" t="s">
        <v>96</v>
      </c>
      <c r="E63" s="355">
        <v>2.0</v>
      </c>
      <c r="F63" s="355">
        <v>20.0</v>
      </c>
      <c r="G63" s="355"/>
      <c r="H63" s="147" t="s">
        <v>1157</v>
      </c>
      <c r="I63" s="147" t="s">
        <v>1127</v>
      </c>
      <c r="J63" s="374"/>
      <c r="K63" s="374"/>
    </row>
    <row r="64">
      <c r="A64" s="356" t="s">
        <v>676</v>
      </c>
      <c r="B64" s="363"/>
      <c r="C64" s="306" t="b">
        <v>0</v>
      </c>
      <c r="D64" s="106" t="s">
        <v>71</v>
      </c>
      <c r="E64" s="355">
        <v>0.5</v>
      </c>
      <c r="F64" s="355">
        <v>20.0</v>
      </c>
      <c r="G64" s="355"/>
      <c r="H64" s="147" t="s">
        <v>1114</v>
      </c>
      <c r="I64" s="147" t="s">
        <v>88</v>
      </c>
      <c r="J64" s="374"/>
      <c r="K64" s="374"/>
    </row>
    <row r="65">
      <c r="A65" s="353" t="s">
        <v>1155</v>
      </c>
      <c r="B65" s="363">
        <v>1.30348E7</v>
      </c>
      <c r="C65" s="306" t="b">
        <v>0</v>
      </c>
      <c r="D65" s="106" t="s">
        <v>96</v>
      </c>
      <c r="E65" s="359">
        <v>2.0</v>
      </c>
      <c r="F65" s="355">
        <v>53.0</v>
      </c>
      <c r="G65" s="355"/>
      <c r="H65" s="147" t="s">
        <v>1203</v>
      </c>
      <c r="I65" s="147" t="s">
        <v>1158</v>
      </c>
      <c r="J65" s="374"/>
      <c r="K65" s="374"/>
    </row>
    <row r="66">
      <c r="A66" s="361"/>
      <c r="B66" s="52"/>
      <c r="C66" s="52"/>
      <c r="D66" s="52" t="s">
        <v>101</v>
      </c>
      <c r="E66" s="211">
        <f>SUM(E59:E65)</f>
        <v>7.5</v>
      </c>
      <c r="F66" s="211">
        <v>50.0</v>
      </c>
      <c r="G66" s="211"/>
      <c r="H66" s="54"/>
      <c r="I66" s="54"/>
      <c r="J66" s="56"/>
      <c r="K66" s="56"/>
    </row>
    <row r="67" ht="7.5" customHeight="1">
      <c r="A67" s="350"/>
      <c r="B67" s="23"/>
      <c r="C67" s="23"/>
      <c r="D67" s="23"/>
      <c r="E67" s="25"/>
      <c r="F67" s="23"/>
      <c r="G67" s="23"/>
      <c r="H67" s="23"/>
      <c r="I67" s="25"/>
      <c r="J67" s="23"/>
      <c r="K67" s="23"/>
    </row>
    <row r="68" ht="18.75" customHeight="1">
      <c r="A68" s="351" t="s">
        <v>1208</v>
      </c>
      <c r="J68" s="26"/>
      <c r="K68" s="26"/>
    </row>
    <row r="69" ht="18.75" customHeight="1">
      <c r="A69" s="90"/>
      <c r="J69" s="27"/>
      <c r="K69" s="27"/>
    </row>
    <row r="70">
      <c r="A70" s="352" t="s">
        <v>41</v>
      </c>
      <c r="B70" s="28" t="s">
        <v>42</v>
      </c>
      <c r="C70" s="29" t="s">
        <v>43</v>
      </c>
      <c r="D70" s="28" t="s">
        <v>46</v>
      </c>
      <c r="E70" s="29" t="s">
        <v>47</v>
      </c>
      <c r="F70" s="29" t="s">
        <v>48</v>
      </c>
      <c r="G70" s="29" t="s">
        <v>49</v>
      </c>
      <c r="H70" s="29" t="s">
        <v>50</v>
      </c>
      <c r="I70" s="29" t="s">
        <v>51</v>
      </c>
      <c r="J70" s="29" t="s">
        <v>1211</v>
      </c>
      <c r="K70" s="29"/>
    </row>
    <row r="71">
      <c r="A71" s="376" t="s">
        <v>1214</v>
      </c>
      <c r="B71" s="260">
        <v>1.30272E7</v>
      </c>
      <c r="C71" s="202">
        <v>7315.0</v>
      </c>
      <c r="D71" s="191" t="b">
        <v>1</v>
      </c>
      <c r="E71" s="260" t="s">
        <v>58</v>
      </c>
      <c r="F71" s="262">
        <v>1.0</v>
      </c>
      <c r="G71" s="262">
        <v>25.0</v>
      </c>
      <c r="H71" s="262">
        <v>34.0</v>
      </c>
      <c r="I71" s="262" t="s">
        <v>1216</v>
      </c>
      <c r="J71" s="262" t="s">
        <v>1030</v>
      </c>
      <c r="K71" s="264" t="s">
        <v>1217</v>
      </c>
    </row>
    <row r="72">
      <c r="A72" s="379" t="s">
        <v>1218</v>
      </c>
      <c r="B72" s="261">
        <v>3580820.0</v>
      </c>
      <c r="C72" s="262">
        <v>2717.0</v>
      </c>
      <c r="D72" s="191" t="b">
        <v>1</v>
      </c>
      <c r="E72" s="260" t="s">
        <v>82</v>
      </c>
      <c r="F72" s="262">
        <v>1.0</v>
      </c>
      <c r="G72" s="262">
        <v>50.0</v>
      </c>
      <c r="H72" s="262">
        <v>11.0</v>
      </c>
      <c r="I72" s="262" t="s">
        <v>1216</v>
      </c>
      <c r="J72" s="202" t="s">
        <v>1030</v>
      </c>
      <c r="K72" s="264" t="s">
        <v>1220</v>
      </c>
    </row>
    <row r="73">
      <c r="A73" s="380" t="s">
        <v>1221</v>
      </c>
      <c r="B73" s="381">
        <v>3580830.0</v>
      </c>
      <c r="C73" s="190"/>
      <c r="D73" s="382" t="b">
        <v>1</v>
      </c>
      <c r="E73" s="381" t="s">
        <v>82</v>
      </c>
      <c r="F73" s="383">
        <v>1.0</v>
      </c>
      <c r="G73" s="383">
        <v>25.0</v>
      </c>
      <c r="H73" s="190"/>
      <c r="I73" s="383" t="s">
        <v>1216</v>
      </c>
      <c r="J73" s="383" t="s">
        <v>1030</v>
      </c>
      <c r="K73" s="384" t="s">
        <v>1220</v>
      </c>
    </row>
    <row r="74">
      <c r="A74" s="376" t="s">
        <v>1235</v>
      </c>
      <c r="B74" s="262" t="s">
        <v>597</v>
      </c>
      <c r="C74" s="262">
        <v>2542.0</v>
      </c>
      <c r="D74" s="191" t="b">
        <v>0</v>
      </c>
      <c r="E74" s="202" t="s">
        <v>71</v>
      </c>
      <c r="F74" s="262">
        <v>1.0</v>
      </c>
      <c r="G74" s="262">
        <v>25.0</v>
      </c>
      <c r="H74" s="262">
        <v>22.0</v>
      </c>
      <c r="I74" s="262" t="s">
        <v>1216</v>
      </c>
      <c r="J74" s="202" t="s">
        <v>1030</v>
      </c>
      <c r="K74" s="264" t="s">
        <v>1217</v>
      </c>
    </row>
    <row r="75">
      <c r="A75" s="379" t="s">
        <v>1241</v>
      </c>
      <c r="B75" s="262">
        <v>1.3028E7</v>
      </c>
      <c r="C75" s="262">
        <v>7317.0</v>
      </c>
      <c r="D75" s="191" t="b">
        <v>1</v>
      </c>
      <c r="E75" s="202" t="s">
        <v>96</v>
      </c>
      <c r="F75" s="262">
        <v>2.0</v>
      </c>
      <c r="G75" s="262">
        <v>25.0</v>
      </c>
      <c r="H75" s="262">
        <v>20.0</v>
      </c>
      <c r="I75" s="262" t="s">
        <v>1216</v>
      </c>
      <c r="J75" s="260" t="s">
        <v>1030</v>
      </c>
      <c r="K75" s="385"/>
    </row>
    <row r="76">
      <c r="A76" s="361"/>
      <c r="B76" s="52"/>
      <c r="C76" s="52"/>
      <c r="D76" s="52" t="s">
        <v>101</v>
      </c>
      <c r="E76" s="211">
        <f>SUM(E71:E75)</f>
        <v>0</v>
      </c>
      <c r="F76" s="211">
        <v>60.0</v>
      </c>
      <c r="G76" s="211"/>
      <c r="H76" s="54"/>
      <c r="I76" s="54"/>
      <c r="J76" s="56"/>
      <c r="K76" s="56"/>
    </row>
  </sheetData>
  <mergeCells count="21">
    <mergeCell ref="A1:I1"/>
    <mergeCell ref="B2:I2"/>
    <mergeCell ref="J2:J3"/>
    <mergeCell ref="B3:I3"/>
    <mergeCell ref="B4:I4"/>
    <mergeCell ref="B5:I5"/>
    <mergeCell ref="J5:J6"/>
    <mergeCell ref="A35:I35"/>
    <mergeCell ref="A44:I44"/>
    <mergeCell ref="A45:I45"/>
    <mergeCell ref="A56:I56"/>
    <mergeCell ref="A57:I57"/>
    <mergeCell ref="A68:I68"/>
    <mergeCell ref="A69:I69"/>
    <mergeCell ref="B6:I6"/>
    <mergeCell ref="B7:I7"/>
    <mergeCell ref="A9:I9"/>
    <mergeCell ref="A10:I10"/>
    <mergeCell ref="A23:I23"/>
    <mergeCell ref="A24:I24"/>
    <mergeCell ref="A34:I34"/>
  </mergeCells>
  <dataValidations>
    <dataValidation type="list" allowBlank="1" sqref="D12:D20 D26:D31 D37:D41 D47:D53 D59:D65">
      <formula1>'Data Validation'!$A$2:$A$5</formula1>
    </dataValidation>
    <dataValidation type="list" allowBlank="1" sqref="F71:F75">
      <formula1>'Data Validation'!$B$2:$B$4</formula1>
    </dataValidation>
    <dataValidation type="list" allowBlank="1" sqref="E12:E15 E17:E20 E26:E31 E37:E41 E47:E53 E59:E65">
      <formula1>'Data Validation'!$B$2:$B$4</formula1>
    </dataValidation>
    <dataValidation type="list" allowBlank="1" sqref="E71:E75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255" footer="0.0" header="0.0" left="0.7" right="0.7" top="0.125"/>
  <pageSetup paperSize="5" cellComments="atEnd" orientation="landscape" pageOrder="overThenDown"/>
  <rowBreaks count="2" manualBreakCount="2">
    <brk man="1"/>
    <brk id="42" man="1"/>
  </rowBreaks>
  <colBreaks count="2" manualBreakCount="2">
    <brk man="1"/>
    <brk id="10" man="1"/>
  </colBreak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6" width="8.88"/>
    <col customWidth="1" min="7" max="7" width="22.63"/>
    <col customWidth="1" min="8" max="8" width="29.88"/>
    <col customWidth="1" min="9" max="9" width="28.88"/>
  </cols>
  <sheetData>
    <row r="1" ht="66.75" customHeight="1">
      <c r="A1" s="1" t="s">
        <v>1065</v>
      </c>
      <c r="I1" s="2" t="s">
        <v>1</v>
      </c>
    </row>
    <row r="2">
      <c r="A2" s="3" t="s">
        <v>2</v>
      </c>
      <c r="B2" s="5" t="s">
        <v>226</v>
      </c>
      <c r="I2" s="13" t="s">
        <v>6</v>
      </c>
    </row>
    <row r="3">
      <c r="A3" s="3" t="s">
        <v>14</v>
      </c>
      <c r="B3" s="5" t="s">
        <v>1074</v>
      </c>
    </row>
    <row r="4">
      <c r="A4" s="3" t="s">
        <v>17</v>
      </c>
      <c r="B4" s="5" t="s">
        <v>1075</v>
      </c>
      <c r="I4" s="18" t="s">
        <v>20</v>
      </c>
    </row>
    <row r="5">
      <c r="A5" s="3" t="s">
        <v>26</v>
      </c>
      <c r="B5" s="19">
        <v>0.0</v>
      </c>
      <c r="I5" s="24" t="s">
        <v>30</v>
      </c>
    </row>
    <row r="6">
      <c r="A6" s="3" t="s">
        <v>34</v>
      </c>
      <c r="B6" s="19">
        <v>1.0</v>
      </c>
    </row>
    <row r="7">
      <c r="A7" s="3" t="s">
        <v>36</v>
      </c>
      <c r="B7" s="19" t="s">
        <v>1079</v>
      </c>
      <c r="I7" s="22"/>
    </row>
    <row r="8" ht="7.5" customHeight="1">
      <c r="A8" s="23"/>
      <c r="B8" s="23"/>
      <c r="C8" s="23"/>
      <c r="D8" s="23"/>
      <c r="E8" s="25"/>
      <c r="F8" s="23"/>
      <c r="G8" s="23"/>
      <c r="H8" s="25"/>
      <c r="I8" s="23"/>
    </row>
    <row r="9" ht="18.75" customHeight="1">
      <c r="A9" s="26" t="s">
        <v>38</v>
      </c>
      <c r="I9" s="26"/>
    </row>
    <row r="10" ht="18.75" customHeight="1">
      <c r="A10" s="27"/>
      <c r="I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1082</v>
      </c>
      <c r="G11" s="29" t="s">
        <v>50</v>
      </c>
      <c r="H11" s="29" t="s">
        <v>51</v>
      </c>
      <c r="I11" s="29" t="s">
        <v>1084</v>
      </c>
    </row>
    <row r="12">
      <c r="A12" s="34"/>
      <c r="B12" s="27"/>
      <c r="C12" s="34" t="b">
        <v>0</v>
      </c>
      <c r="D12" s="27"/>
      <c r="E12" s="37"/>
      <c r="F12" s="37"/>
      <c r="G12" s="76"/>
      <c r="H12" s="76"/>
      <c r="I12" s="41"/>
    </row>
    <row r="13">
      <c r="A13" s="34"/>
      <c r="B13" s="34"/>
      <c r="C13" s="34" t="b">
        <v>0</v>
      </c>
      <c r="D13" s="34"/>
      <c r="E13" s="76"/>
      <c r="F13" s="76"/>
      <c r="G13" s="76"/>
      <c r="H13" s="76"/>
      <c r="I13" s="41"/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41"/>
    </row>
    <row r="17">
      <c r="A17" s="51"/>
      <c r="B17" s="52"/>
      <c r="C17" s="52"/>
      <c r="D17" s="52" t="s">
        <v>101</v>
      </c>
      <c r="E17" s="54">
        <f t="shared" ref="E17:F17" si="1">sum(E12:E16)</f>
        <v>0</v>
      </c>
      <c r="F17" s="54">
        <f t="shared" si="1"/>
        <v>0</v>
      </c>
      <c r="G17" s="54"/>
      <c r="H17" s="54"/>
      <c r="I17" s="56"/>
    </row>
    <row r="18" ht="7.5" customHeight="1">
      <c r="A18" s="23"/>
      <c r="B18" s="23"/>
      <c r="C18" s="23"/>
      <c r="D18" s="23"/>
      <c r="E18" s="25"/>
      <c r="F18" s="23"/>
      <c r="G18" s="23"/>
      <c r="H18" s="25"/>
      <c r="I18" s="23"/>
    </row>
    <row r="19" ht="18.75" customHeight="1">
      <c r="A19" s="26" t="s">
        <v>135</v>
      </c>
      <c r="I19" s="26"/>
    </row>
    <row r="20" ht="18.75" customHeight="1">
      <c r="A20" s="27"/>
      <c r="I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1082</v>
      </c>
      <c r="G21" s="29" t="s">
        <v>50</v>
      </c>
      <c r="H21" s="29" t="s">
        <v>51</v>
      </c>
      <c r="I21" s="29" t="s">
        <v>1110</v>
      </c>
    </row>
    <row r="22">
      <c r="A22" s="34"/>
      <c r="B22" s="34"/>
      <c r="C22" s="34" t="b">
        <v>0</v>
      </c>
      <c r="D22" s="34"/>
      <c r="E22" s="76"/>
      <c r="F22" s="76"/>
      <c r="G22" s="76"/>
      <c r="H22" s="76"/>
      <c r="I22" s="41"/>
    </row>
    <row r="23">
      <c r="A23" s="34"/>
      <c r="B23" s="34"/>
      <c r="C23" s="34" t="b">
        <v>0</v>
      </c>
      <c r="D23" s="34"/>
      <c r="E23" s="76"/>
      <c r="F23" s="76"/>
      <c r="G23" s="76"/>
      <c r="H23" s="76"/>
      <c r="I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41"/>
    </row>
    <row r="27">
      <c r="A27" s="51"/>
      <c r="B27" s="52"/>
      <c r="C27" s="52"/>
      <c r="D27" s="52" t="s">
        <v>101</v>
      </c>
      <c r="E27" s="54">
        <f t="shared" ref="E27:F27" si="2">sum(E22:E26)</f>
        <v>0</v>
      </c>
      <c r="F27" s="54">
        <f t="shared" si="2"/>
        <v>0</v>
      </c>
      <c r="G27" s="54"/>
      <c r="H27" s="54"/>
      <c r="I27" s="56"/>
    </row>
    <row r="28" ht="7.5" customHeight="1">
      <c r="A28" s="23"/>
      <c r="B28" s="23"/>
      <c r="C28" s="23"/>
      <c r="D28" s="23"/>
      <c r="E28" s="25"/>
      <c r="F28" s="23"/>
      <c r="G28" s="23"/>
      <c r="H28" s="25"/>
      <c r="I28" s="23"/>
    </row>
    <row r="29" ht="18.75" customHeight="1">
      <c r="A29" s="26" t="s">
        <v>111</v>
      </c>
      <c r="I29" s="26"/>
    </row>
    <row r="30" ht="18.75" customHeight="1">
      <c r="A30" s="27"/>
      <c r="I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1082</v>
      </c>
      <c r="G31" s="29" t="s">
        <v>50</v>
      </c>
      <c r="H31" s="29" t="s">
        <v>51</v>
      </c>
      <c r="I31" s="29" t="s">
        <v>1125</v>
      </c>
    </row>
    <row r="32">
      <c r="A32" s="34"/>
      <c r="B32" s="34"/>
      <c r="C32" s="34" t="b">
        <v>0</v>
      </c>
      <c r="D32" s="34"/>
      <c r="E32" s="76"/>
      <c r="F32" s="76"/>
      <c r="G32" s="76"/>
      <c r="H32" s="76"/>
      <c r="I32" s="41"/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41"/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41"/>
    </row>
    <row r="37">
      <c r="A37" s="51"/>
      <c r="B37" s="52"/>
      <c r="C37" s="52"/>
      <c r="D37" s="52" t="s">
        <v>101</v>
      </c>
      <c r="E37" s="54">
        <f t="shared" ref="E37:F37" si="3">sum(E32:E36)</f>
        <v>0</v>
      </c>
      <c r="F37" s="54">
        <f t="shared" si="3"/>
        <v>0</v>
      </c>
      <c r="G37" s="54"/>
      <c r="H37" s="54"/>
      <c r="I37" s="56"/>
    </row>
    <row r="38" ht="7.5" customHeight="1">
      <c r="A38" s="23"/>
      <c r="B38" s="23"/>
      <c r="C38" s="23"/>
      <c r="D38" s="23"/>
      <c r="E38" s="25"/>
      <c r="F38" s="23"/>
      <c r="G38" s="23"/>
      <c r="H38" s="25"/>
      <c r="I38" s="23"/>
    </row>
    <row r="39" ht="18.75" customHeight="1">
      <c r="A39" s="26" t="s">
        <v>169</v>
      </c>
      <c r="I39" s="26"/>
    </row>
    <row r="40" ht="18.75" customHeight="1">
      <c r="A40" s="27"/>
      <c r="I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1082</v>
      </c>
      <c r="G41" s="29" t="s">
        <v>50</v>
      </c>
      <c r="H41" s="29" t="s">
        <v>51</v>
      </c>
      <c r="I41" s="29" t="s">
        <v>1140</v>
      </c>
    </row>
    <row r="42">
      <c r="A42" s="34"/>
      <c r="B42" s="34"/>
      <c r="C42" s="34" t="b">
        <v>0</v>
      </c>
      <c r="D42" s="34"/>
      <c r="E42" s="76"/>
      <c r="F42" s="76"/>
      <c r="G42" s="76"/>
      <c r="H42" s="76"/>
      <c r="I42" s="41"/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41"/>
    </row>
    <row r="47">
      <c r="A47" s="51"/>
      <c r="B47" s="52"/>
      <c r="C47" s="52"/>
      <c r="D47" s="52" t="s">
        <v>101</v>
      </c>
      <c r="E47" s="54">
        <f t="shared" ref="E47:F47" si="4">sum(E42:E46)</f>
        <v>0</v>
      </c>
      <c r="F47" s="54">
        <f t="shared" si="4"/>
        <v>0</v>
      </c>
      <c r="G47" s="54"/>
      <c r="H47" s="54"/>
      <c r="I47" s="56"/>
    </row>
    <row r="48" ht="7.5" customHeight="1">
      <c r="A48" s="23"/>
      <c r="B48" s="23"/>
      <c r="C48" s="23"/>
      <c r="D48" s="23"/>
      <c r="E48" s="25"/>
      <c r="F48" s="23"/>
      <c r="G48" s="23"/>
      <c r="H48" s="25"/>
      <c r="I48" s="23"/>
    </row>
    <row r="49" ht="18.75" customHeight="1">
      <c r="A49" s="26" t="s">
        <v>205</v>
      </c>
      <c r="I49" s="26"/>
    </row>
    <row r="50" ht="18.75" customHeight="1">
      <c r="A50" s="27"/>
      <c r="I50" s="27"/>
    </row>
    <row r="51">
      <c r="A51" s="28" t="s">
        <v>41</v>
      </c>
      <c r="B51" s="28" t="s">
        <v>42</v>
      </c>
      <c r="C51" s="29" t="s">
        <v>43</v>
      </c>
      <c r="D51" s="28" t="s">
        <v>46</v>
      </c>
      <c r="E51" s="29" t="s">
        <v>47</v>
      </c>
      <c r="F51" s="29" t="s">
        <v>1082</v>
      </c>
      <c r="G51" s="29" t="s">
        <v>50</v>
      </c>
      <c r="H51" s="29" t="s">
        <v>51</v>
      </c>
      <c r="I51" s="29" t="s">
        <v>1154</v>
      </c>
    </row>
    <row r="52">
      <c r="A52" s="34"/>
      <c r="B52" s="34"/>
      <c r="C52" s="34" t="b">
        <v>0</v>
      </c>
      <c r="D52" s="34"/>
      <c r="E52" s="76"/>
      <c r="F52" s="76"/>
      <c r="G52" s="76"/>
      <c r="H52" s="76"/>
      <c r="I52" s="41"/>
    </row>
    <row r="53">
      <c r="A53" s="34"/>
      <c r="B53" s="34"/>
      <c r="C53" s="34" t="b">
        <v>0</v>
      </c>
      <c r="D53" s="34"/>
      <c r="E53" s="76"/>
      <c r="F53" s="37"/>
      <c r="G53" s="37"/>
      <c r="H53" s="76"/>
      <c r="I53" s="41"/>
    </row>
    <row r="54">
      <c r="A54" s="34"/>
      <c r="B54" s="34"/>
      <c r="C54" s="34" t="b">
        <v>0</v>
      </c>
      <c r="D54" s="34"/>
      <c r="E54" s="76"/>
      <c r="F54" s="76"/>
      <c r="G54" s="76"/>
      <c r="H54" s="76"/>
      <c r="I54" s="41"/>
    </row>
    <row r="55">
      <c r="A55" s="34"/>
      <c r="B55" s="34"/>
      <c r="C55" s="34" t="b">
        <v>0</v>
      </c>
      <c r="D55" s="34"/>
      <c r="E55" s="76"/>
      <c r="F55" s="37"/>
      <c r="G55" s="37"/>
      <c r="H55" s="76"/>
      <c r="I55" s="41"/>
    </row>
    <row r="56">
      <c r="A56" s="34"/>
      <c r="B56" s="34"/>
      <c r="C56" s="34" t="b">
        <v>0</v>
      </c>
      <c r="D56" s="34"/>
      <c r="E56" s="76"/>
      <c r="F56" s="76"/>
      <c r="G56" s="76"/>
      <c r="H56" s="76"/>
      <c r="I56" s="41"/>
    </row>
    <row r="57">
      <c r="A57" s="51"/>
      <c r="B57" s="52"/>
      <c r="C57" s="52"/>
      <c r="D57" s="52" t="s">
        <v>101</v>
      </c>
      <c r="E57" s="54">
        <f t="shared" ref="E57:F57" si="5">sum(E52:E56)</f>
        <v>0</v>
      </c>
      <c r="F57" s="54">
        <f t="shared" si="5"/>
        <v>0</v>
      </c>
      <c r="G57" s="54"/>
      <c r="H57" s="54"/>
      <c r="I57" s="56"/>
    </row>
  </sheetData>
  <mergeCells count="19">
    <mergeCell ref="A1:H1"/>
    <mergeCell ref="B2:H2"/>
    <mergeCell ref="I2:I3"/>
    <mergeCell ref="B3:H3"/>
    <mergeCell ref="B4:H4"/>
    <mergeCell ref="B5:H5"/>
    <mergeCell ref="I5:I6"/>
    <mergeCell ref="A30:H30"/>
    <mergeCell ref="A39:H39"/>
    <mergeCell ref="A40:H40"/>
    <mergeCell ref="A49:H49"/>
    <mergeCell ref="A50:H50"/>
    <mergeCell ref="B6:H6"/>
    <mergeCell ref="B7:H7"/>
    <mergeCell ref="A9:H9"/>
    <mergeCell ref="A10:H10"/>
    <mergeCell ref="A19:H19"/>
    <mergeCell ref="A20:H20"/>
    <mergeCell ref="A29:H29"/>
  </mergeCells>
  <dataValidations>
    <dataValidation type="list" allowBlank="1" sqref="D12:D16 D22:D26 D32:D36 D42:D46 D52:D56">
      <formula1>'Data Validation'!$A$2:$A$5</formula1>
    </dataValidation>
    <dataValidation type="list" allowBlank="1" sqref="E12:E16 E22:E26 E32:E36 E42:E46 E52:E56">
      <formula1>'Data Validation'!$B$2:$B$4</formula1>
    </dataValidation>
  </dataValidations>
  <hyperlinks>
    <hyperlink r:id="rId1" ref="I2"/>
    <hyperlink r:id="rId2" ref="I4"/>
    <hyperlink r:id="rId3" ref="I5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34.0"/>
  </cols>
  <sheetData>
    <row r="1" ht="66.75" customHeight="1">
      <c r="A1" s="1" t="s">
        <v>1173</v>
      </c>
      <c r="J1" s="2" t="s">
        <v>1</v>
      </c>
    </row>
    <row r="2">
      <c r="A2" s="3" t="s">
        <v>2</v>
      </c>
      <c r="B2" s="5" t="s">
        <v>232</v>
      </c>
      <c r="J2" s="13" t="s">
        <v>6</v>
      </c>
    </row>
    <row r="3">
      <c r="A3" s="3" t="s">
        <v>14</v>
      </c>
      <c r="B3" s="5" t="s">
        <v>1179</v>
      </c>
    </row>
    <row r="4">
      <c r="A4" s="3" t="s">
        <v>17</v>
      </c>
      <c r="B4" s="5" t="s">
        <v>1180</v>
      </c>
      <c r="J4" s="18" t="s">
        <v>20</v>
      </c>
    </row>
    <row r="5">
      <c r="A5" s="3" t="s">
        <v>26</v>
      </c>
      <c r="B5" s="19">
        <v>5.0</v>
      </c>
      <c r="J5" s="24" t="s">
        <v>30</v>
      </c>
    </row>
    <row r="6">
      <c r="A6" s="3" t="s">
        <v>34</v>
      </c>
      <c r="B6" s="19">
        <v>6.0</v>
      </c>
    </row>
    <row r="7">
      <c r="A7" s="3" t="s">
        <v>36</v>
      </c>
      <c r="B7" s="5" t="s">
        <v>1187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540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1191</v>
      </c>
    </row>
    <row r="12">
      <c r="A12" s="27" t="s">
        <v>279</v>
      </c>
      <c r="B12" s="27">
        <v>1.30114E7</v>
      </c>
      <c r="C12" s="34" t="b">
        <v>0</v>
      </c>
      <c r="D12" s="27" t="s">
        <v>58</v>
      </c>
      <c r="E12" s="37">
        <v>1.0</v>
      </c>
      <c r="F12" s="37">
        <v>53.0</v>
      </c>
      <c r="G12" s="37"/>
      <c r="H12" s="37" t="s">
        <v>1196</v>
      </c>
      <c r="I12" s="37" t="s">
        <v>1198</v>
      </c>
      <c r="J12" s="45" t="s">
        <v>776</v>
      </c>
    </row>
    <row r="13">
      <c r="A13" s="27" t="s">
        <v>257</v>
      </c>
      <c r="B13" s="27">
        <v>1.30162E7</v>
      </c>
      <c r="C13" s="34" t="b">
        <v>0</v>
      </c>
      <c r="D13" s="27" t="s">
        <v>58</v>
      </c>
      <c r="E13" s="37">
        <v>1.0</v>
      </c>
      <c r="F13" s="37">
        <v>50.0</v>
      </c>
      <c r="G13" s="37"/>
      <c r="H13" s="37" t="s">
        <v>1196</v>
      </c>
      <c r="I13" s="37" t="s">
        <v>1198</v>
      </c>
      <c r="J13" s="41"/>
    </row>
    <row r="14">
      <c r="A14" s="306"/>
      <c r="B14" s="306"/>
      <c r="C14" s="34" t="b">
        <v>0</v>
      </c>
      <c r="D14" s="34"/>
      <c r="E14" s="76"/>
      <c r="F14" s="76"/>
      <c r="G14" s="76"/>
      <c r="H14" s="76"/>
      <c r="I14" s="76"/>
      <c r="J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76"/>
      <c r="J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76"/>
      <c r="J16" s="41"/>
    </row>
    <row r="17">
      <c r="A17" s="51"/>
      <c r="B17" s="52"/>
      <c r="C17" s="52"/>
      <c r="D17" s="52" t="s">
        <v>101</v>
      </c>
      <c r="E17" s="54">
        <f t="shared" ref="E17:F17" si="1">sum(E12:E16)</f>
        <v>2</v>
      </c>
      <c r="F17" s="54">
        <f t="shared" si="1"/>
        <v>103</v>
      </c>
      <c r="G17" s="54"/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26" t="s">
        <v>135</v>
      </c>
      <c r="J19" s="26"/>
    </row>
    <row r="20" ht="18.75" customHeight="1">
      <c r="A20" s="27" t="s">
        <v>792</v>
      </c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1213</v>
      </c>
    </row>
    <row r="22">
      <c r="A22" s="323" t="s">
        <v>1097</v>
      </c>
      <c r="B22" s="27">
        <v>1.30082E7</v>
      </c>
      <c r="C22" s="34" t="b">
        <v>0</v>
      </c>
      <c r="D22" s="27" t="s">
        <v>58</v>
      </c>
      <c r="E22" s="37">
        <v>1.0</v>
      </c>
      <c r="F22" s="37">
        <v>25.0</v>
      </c>
      <c r="G22" s="37"/>
      <c r="H22" s="37" t="s">
        <v>1196</v>
      </c>
      <c r="I22" s="37" t="s">
        <v>1198</v>
      </c>
      <c r="J22" s="41"/>
    </row>
    <row r="23">
      <c r="A23" s="377"/>
      <c r="B23" s="378"/>
      <c r="C23" s="34" t="b">
        <v>0</v>
      </c>
      <c r="D23" s="34"/>
      <c r="E23" s="76"/>
      <c r="F23" s="76"/>
      <c r="G23" s="76"/>
      <c r="H23" s="76"/>
      <c r="I23" s="76"/>
      <c r="J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76"/>
      <c r="J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76"/>
      <c r="J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76"/>
      <c r="J26" s="41"/>
    </row>
    <row r="27">
      <c r="A27" s="51"/>
      <c r="B27" s="52"/>
      <c r="C27" s="52"/>
      <c r="D27" s="52" t="s">
        <v>101</v>
      </c>
      <c r="E27" s="54">
        <f t="shared" ref="E27:F27" si="2">sum(E22:E26)</f>
        <v>1</v>
      </c>
      <c r="F27" s="54">
        <f t="shared" si="2"/>
        <v>25</v>
      </c>
      <c r="G27" s="54"/>
      <c r="H27" s="54"/>
      <c r="I27" s="54"/>
      <c r="J27" s="56"/>
    </row>
    <row r="28" ht="7.5" customHeight="1">
      <c r="A28" s="23"/>
      <c r="B28" s="23"/>
      <c r="C28" s="23"/>
      <c r="D28" s="23"/>
      <c r="E28" s="25"/>
      <c r="F28" s="23"/>
      <c r="G28" s="23"/>
      <c r="H28" s="23"/>
      <c r="I28" s="25"/>
      <c r="J28" s="23"/>
    </row>
    <row r="29" ht="18.75" customHeight="1">
      <c r="A29" s="26" t="s">
        <v>111</v>
      </c>
      <c r="J29" s="26"/>
    </row>
    <row r="30" ht="18.75" customHeight="1">
      <c r="A30" s="27" t="s">
        <v>1228</v>
      </c>
      <c r="J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48</v>
      </c>
      <c r="G31" s="29" t="s">
        <v>49</v>
      </c>
      <c r="H31" s="29" t="s">
        <v>50</v>
      </c>
      <c r="I31" s="29" t="s">
        <v>51</v>
      </c>
      <c r="J31" s="29" t="s">
        <v>1231</v>
      </c>
    </row>
    <row r="32">
      <c r="A32" s="191" t="s">
        <v>1232</v>
      </c>
      <c r="B32" s="191" t="s">
        <v>651</v>
      </c>
      <c r="C32" s="191" t="b">
        <v>1</v>
      </c>
      <c r="D32" s="191" t="s">
        <v>71</v>
      </c>
      <c r="E32" s="194">
        <v>1.0</v>
      </c>
      <c r="F32" s="194">
        <v>20.0</v>
      </c>
      <c r="G32" s="194">
        <v>2.0</v>
      </c>
      <c r="H32" s="194" t="s">
        <v>1196</v>
      </c>
      <c r="I32" s="194" t="s">
        <v>1198</v>
      </c>
      <c r="J32" s="196" t="s">
        <v>1238</v>
      </c>
    </row>
    <row r="33">
      <c r="A33" s="206" t="s">
        <v>1239</v>
      </c>
      <c r="B33" s="206" t="s">
        <v>624</v>
      </c>
      <c r="C33" s="206" t="b">
        <v>1</v>
      </c>
      <c r="D33" s="206" t="s">
        <v>82</v>
      </c>
      <c r="E33" s="208">
        <v>1.0</v>
      </c>
      <c r="F33" s="208">
        <v>20.0</v>
      </c>
      <c r="G33" s="208">
        <v>0.0</v>
      </c>
      <c r="H33" s="208" t="s">
        <v>1196</v>
      </c>
      <c r="I33" s="208" t="s">
        <v>1242</v>
      </c>
      <c r="J33" s="210" t="s">
        <v>1238</v>
      </c>
    </row>
    <row r="34">
      <c r="A34" s="206" t="s">
        <v>1243</v>
      </c>
      <c r="B34" s="206">
        <v>3580140.0</v>
      </c>
      <c r="C34" s="206" t="b">
        <v>1</v>
      </c>
      <c r="D34" s="206" t="s">
        <v>58</v>
      </c>
      <c r="E34" s="208">
        <v>1.0</v>
      </c>
      <c r="F34" s="208">
        <v>30.0</v>
      </c>
      <c r="G34" s="208">
        <v>7.0</v>
      </c>
      <c r="H34" s="208" t="s">
        <v>1196</v>
      </c>
      <c r="I34" s="208" t="s">
        <v>1244</v>
      </c>
      <c r="J34" s="210" t="s">
        <v>1246</v>
      </c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76"/>
      <c r="J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76"/>
      <c r="J36" s="41"/>
    </row>
    <row r="37">
      <c r="A37" s="51"/>
      <c r="B37" s="52"/>
      <c r="C37" s="52"/>
      <c r="D37" s="52" t="s">
        <v>101</v>
      </c>
      <c r="E37" s="54">
        <f t="shared" ref="E37:F37" si="3">sum(E32:E36)</f>
        <v>3</v>
      </c>
      <c r="F37" s="54">
        <f t="shared" si="3"/>
        <v>70</v>
      </c>
      <c r="G37" s="54"/>
      <c r="H37" s="54"/>
      <c r="I37" s="54"/>
      <c r="J37" s="56"/>
    </row>
    <row r="38" ht="7.5" customHeight="1">
      <c r="A38" s="23"/>
      <c r="B38" s="23"/>
      <c r="C38" s="23"/>
      <c r="D38" s="23"/>
      <c r="E38" s="25"/>
      <c r="F38" s="23"/>
      <c r="G38" s="23"/>
      <c r="H38" s="23"/>
      <c r="I38" s="25"/>
      <c r="J38" s="23"/>
    </row>
    <row r="39" ht="18.75" customHeight="1">
      <c r="A39" s="26" t="s">
        <v>169</v>
      </c>
      <c r="J39" s="26"/>
    </row>
    <row r="40" ht="18.75" customHeight="1">
      <c r="A40" s="27" t="s">
        <v>1253</v>
      </c>
      <c r="J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48</v>
      </c>
      <c r="G41" s="29" t="s">
        <v>49</v>
      </c>
      <c r="H41" s="29" t="s">
        <v>50</v>
      </c>
      <c r="I41" s="29" t="s">
        <v>51</v>
      </c>
      <c r="J41" s="29" t="s">
        <v>1256</v>
      </c>
    </row>
    <row r="42">
      <c r="A42" s="27" t="s">
        <v>1257</v>
      </c>
      <c r="B42" s="27">
        <v>1.30183E7</v>
      </c>
      <c r="C42" s="34" t="b">
        <v>0</v>
      </c>
      <c r="D42" s="27" t="s">
        <v>71</v>
      </c>
      <c r="E42" s="37">
        <v>1.0</v>
      </c>
      <c r="F42" s="37">
        <v>8.0</v>
      </c>
      <c r="G42" s="37"/>
      <c r="H42" s="37"/>
      <c r="I42" s="37"/>
      <c r="J42" s="41"/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76"/>
      <c r="J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76"/>
      <c r="J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76"/>
      <c r="J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76"/>
      <c r="J46" s="41"/>
    </row>
    <row r="47">
      <c r="A47" s="51"/>
      <c r="B47" s="52"/>
      <c r="C47" s="52"/>
      <c r="D47" s="52" t="s">
        <v>101</v>
      </c>
      <c r="E47" s="54">
        <f t="shared" ref="E47:F47" si="4">sum(E42:E46)</f>
        <v>1</v>
      </c>
      <c r="F47" s="54">
        <f t="shared" si="4"/>
        <v>8</v>
      </c>
      <c r="G47" s="54"/>
      <c r="H47" s="54"/>
      <c r="I47" s="54"/>
      <c r="J47" s="56"/>
    </row>
    <row r="48" ht="7.5" customHeight="1">
      <c r="A48" s="23"/>
      <c r="B48" s="23"/>
      <c r="C48" s="23"/>
      <c r="D48" s="23"/>
      <c r="E48" s="25"/>
      <c r="F48" s="23"/>
      <c r="G48" s="23"/>
      <c r="H48" s="23"/>
      <c r="I48" s="25"/>
      <c r="J48" s="23"/>
    </row>
    <row r="49" ht="18.75" customHeight="1">
      <c r="A49" s="26" t="s">
        <v>205</v>
      </c>
      <c r="J49" s="26"/>
    </row>
    <row r="50" ht="18.75" customHeight="1">
      <c r="A50" s="27" t="s">
        <v>1261</v>
      </c>
      <c r="J50" s="27"/>
    </row>
    <row r="51">
      <c r="A51" s="28" t="s">
        <v>41</v>
      </c>
      <c r="B51" s="28" t="s">
        <v>42</v>
      </c>
      <c r="C51" s="29" t="s">
        <v>43</v>
      </c>
      <c r="D51" s="28" t="s">
        <v>46</v>
      </c>
      <c r="E51" s="29" t="s">
        <v>47</v>
      </c>
      <c r="F51" s="29" t="s">
        <v>48</v>
      </c>
      <c r="G51" s="29" t="s">
        <v>49</v>
      </c>
      <c r="H51" s="29" t="s">
        <v>50</v>
      </c>
      <c r="I51" s="29" t="s">
        <v>51</v>
      </c>
      <c r="J51" s="29" t="s">
        <v>1263</v>
      </c>
    </row>
    <row r="52">
      <c r="A52" s="27" t="s">
        <v>1264</v>
      </c>
      <c r="B52" s="27">
        <v>3580140.0</v>
      </c>
      <c r="C52" s="27" t="b">
        <v>1</v>
      </c>
      <c r="D52" s="27" t="s">
        <v>58</v>
      </c>
      <c r="E52" s="37">
        <v>1.0</v>
      </c>
      <c r="F52" s="37">
        <v>25.0</v>
      </c>
      <c r="G52" s="37"/>
      <c r="H52" s="37"/>
      <c r="I52" s="37"/>
      <c r="J52" s="375" t="s">
        <v>1185</v>
      </c>
    </row>
    <row r="53">
      <c r="A53" s="34"/>
      <c r="B53" s="34"/>
      <c r="C53" s="34" t="b">
        <v>0</v>
      </c>
      <c r="D53" s="34"/>
      <c r="E53" s="76"/>
      <c r="F53" s="37"/>
      <c r="G53" s="37"/>
      <c r="H53" s="37"/>
      <c r="I53" s="76"/>
      <c r="J53" s="41"/>
    </row>
    <row r="54">
      <c r="A54" s="34"/>
      <c r="B54" s="34"/>
      <c r="C54" s="34" t="b">
        <v>0</v>
      </c>
      <c r="D54" s="34"/>
      <c r="E54" s="76"/>
      <c r="F54" s="76"/>
      <c r="G54" s="76"/>
      <c r="H54" s="76"/>
      <c r="I54" s="76"/>
      <c r="J54" s="41"/>
    </row>
    <row r="55">
      <c r="A55" s="34"/>
      <c r="B55" s="34"/>
      <c r="C55" s="34" t="b">
        <v>0</v>
      </c>
      <c r="D55" s="34"/>
      <c r="E55" s="76"/>
      <c r="F55" s="37"/>
      <c r="G55" s="37"/>
      <c r="H55" s="37"/>
      <c r="I55" s="76"/>
      <c r="J55" s="41"/>
    </row>
    <row r="56">
      <c r="A56" s="34"/>
      <c r="B56" s="34"/>
      <c r="C56" s="34" t="b">
        <v>0</v>
      </c>
      <c r="D56" s="34"/>
      <c r="E56" s="76"/>
      <c r="F56" s="76"/>
      <c r="G56" s="76"/>
      <c r="H56" s="76"/>
      <c r="I56" s="76"/>
      <c r="J56" s="41"/>
    </row>
    <row r="57">
      <c r="A57" s="51"/>
      <c r="B57" s="52"/>
      <c r="C57" s="52"/>
      <c r="D57" s="52" t="s">
        <v>101</v>
      </c>
      <c r="E57" s="54">
        <f t="shared" ref="E57:F57" si="5">sum(E52:E56)</f>
        <v>1</v>
      </c>
      <c r="F57" s="54">
        <f t="shared" si="5"/>
        <v>25</v>
      </c>
      <c r="G57" s="54"/>
      <c r="H57" s="54"/>
      <c r="I57" s="54"/>
      <c r="J57" s="56"/>
    </row>
  </sheetData>
  <mergeCells count="19">
    <mergeCell ref="A1:I1"/>
    <mergeCell ref="B2:I2"/>
    <mergeCell ref="J2:J3"/>
    <mergeCell ref="B3:I3"/>
    <mergeCell ref="B4:I4"/>
    <mergeCell ref="B5:I5"/>
    <mergeCell ref="J5:J6"/>
    <mergeCell ref="A30:I30"/>
    <mergeCell ref="A39:I39"/>
    <mergeCell ref="A40:I40"/>
    <mergeCell ref="A49:I49"/>
    <mergeCell ref="A50:I50"/>
    <mergeCell ref="B6:I6"/>
    <mergeCell ref="B7:I7"/>
    <mergeCell ref="A9:I9"/>
    <mergeCell ref="A10:I10"/>
    <mergeCell ref="A19:I19"/>
    <mergeCell ref="A20:I20"/>
    <mergeCell ref="A29:I29"/>
  </mergeCells>
  <dataValidations>
    <dataValidation type="list" allowBlank="1" sqref="D12:D16 D22:D26 D35:D36 D42:D46 D52:D56">
      <formula1>'Data Validation'!$A$2:$A$5</formula1>
    </dataValidation>
    <dataValidation type="list" allowBlank="1" sqref="E32:E34">
      <formula1>'Data Validation'!$B$2:$B$4</formula1>
    </dataValidation>
    <dataValidation type="list" allowBlank="1" sqref="E12:E16 E22:E26 E35:E36 E42:E46 E52:E56">
      <formula1>'Data Validation'!$B$2:$B$4</formula1>
    </dataValidation>
    <dataValidation type="list" allowBlank="1" sqref="D32:D34">
      <formula1>'Data Validation'!$A$2:$A$5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 t="s">
        <v>1260</v>
      </c>
      <c r="J1" s="2" t="s">
        <v>1</v>
      </c>
    </row>
    <row r="2">
      <c r="A2" s="3" t="s">
        <v>2</v>
      </c>
      <c r="B2" s="5" t="s">
        <v>238</v>
      </c>
      <c r="J2" s="13" t="s">
        <v>6</v>
      </c>
    </row>
    <row r="3">
      <c r="A3" s="3" t="s">
        <v>14</v>
      </c>
      <c r="B3" s="5" t="s">
        <v>1267</v>
      </c>
    </row>
    <row r="4">
      <c r="A4" s="3" t="s">
        <v>17</v>
      </c>
      <c r="B4" s="5" t="s">
        <v>612</v>
      </c>
      <c r="J4" s="18" t="s">
        <v>20</v>
      </c>
    </row>
    <row r="5">
      <c r="A5" s="3" t="s">
        <v>26</v>
      </c>
      <c r="B5" s="386" t="s">
        <v>1268</v>
      </c>
      <c r="J5" s="24" t="s">
        <v>30</v>
      </c>
    </row>
    <row r="6">
      <c r="A6" s="3" t="s">
        <v>34</v>
      </c>
      <c r="B6" s="386" t="s">
        <v>1269</v>
      </c>
    </row>
    <row r="7">
      <c r="A7" s="3" t="s">
        <v>36</v>
      </c>
      <c r="B7" s="387" t="s">
        <v>1270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1271</v>
      </c>
      <c r="J9" s="26"/>
    </row>
    <row r="10" ht="18.75" customHeight="1">
      <c r="A10" s="27" t="s">
        <v>1272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1274</v>
      </c>
    </row>
    <row r="12">
      <c r="A12" s="37" t="s">
        <v>1276</v>
      </c>
      <c r="B12" s="27">
        <v>1.30202E7</v>
      </c>
      <c r="C12" s="27" t="b">
        <v>0</v>
      </c>
      <c r="D12" s="27" t="s">
        <v>58</v>
      </c>
      <c r="E12" s="37">
        <v>1.0</v>
      </c>
      <c r="F12" s="37">
        <v>150.0</v>
      </c>
      <c r="G12" s="37"/>
      <c r="H12" s="37" t="s">
        <v>1279</v>
      </c>
      <c r="I12" s="37" t="s">
        <v>1280</v>
      </c>
      <c r="J12" s="41"/>
    </row>
    <row r="13">
      <c r="A13" s="37" t="s">
        <v>1281</v>
      </c>
      <c r="B13" s="27">
        <v>1.30203E7</v>
      </c>
      <c r="C13" s="27" t="b">
        <v>1</v>
      </c>
      <c r="D13" s="27" t="s">
        <v>71</v>
      </c>
      <c r="E13" s="37">
        <v>1.0</v>
      </c>
      <c r="F13" s="37">
        <v>150.0</v>
      </c>
      <c r="G13" s="37"/>
      <c r="H13" s="37" t="s">
        <v>1282</v>
      </c>
      <c r="I13" s="37" t="s">
        <v>1283</v>
      </c>
      <c r="J13" s="41"/>
    </row>
    <row r="14">
      <c r="A14" s="37" t="s">
        <v>1284</v>
      </c>
      <c r="B14" s="27">
        <v>1.30204E7</v>
      </c>
      <c r="C14" s="27" t="b">
        <v>1</v>
      </c>
      <c r="D14" s="27" t="s">
        <v>82</v>
      </c>
      <c r="E14" s="37">
        <v>1.0</v>
      </c>
      <c r="F14" s="37">
        <v>150.0</v>
      </c>
      <c r="G14" s="37"/>
      <c r="H14" s="37" t="s">
        <v>1285</v>
      </c>
      <c r="I14" s="37" t="s">
        <v>1286</v>
      </c>
      <c r="J14" s="41"/>
    </row>
    <row r="15">
      <c r="A15" s="37" t="s">
        <v>1287</v>
      </c>
      <c r="B15" s="37">
        <v>1.30206E7</v>
      </c>
      <c r="C15" s="27" t="b">
        <v>1</v>
      </c>
      <c r="D15" s="27" t="s">
        <v>82</v>
      </c>
      <c r="E15" s="37">
        <v>1.0</v>
      </c>
      <c r="F15" s="37">
        <v>150.0</v>
      </c>
      <c r="G15" s="37"/>
      <c r="H15" s="37" t="s">
        <v>1289</v>
      </c>
      <c r="I15" s="37" t="s">
        <v>1290</v>
      </c>
      <c r="J15" s="41"/>
    </row>
    <row r="16">
      <c r="A16" s="37" t="s">
        <v>1291</v>
      </c>
      <c r="B16" s="37" t="s">
        <v>1292</v>
      </c>
      <c r="C16" s="27" t="b">
        <v>1</v>
      </c>
      <c r="D16" s="27" t="s">
        <v>96</v>
      </c>
      <c r="E16" s="37">
        <v>2.0</v>
      </c>
      <c r="F16" s="37">
        <v>80.0</v>
      </c>
      <c r="G16" s="37"/>
      <c r="H16" s="37" t="s">
        <v>1294</v>
      </c>
      <c r="I16" s="37" t="s">
        <v>1295</v>
      </c>
      <c r="J16" s="41"/>
    </row>
    <row r="17">
      <c r="A17" s="37" t="s">
        <v>1297</v>
      </c>
      <c r="B17" s="37" t="s">
        <v>1298</v>
      </c>
      <c r="C17" s="27" t="b">
        <v>1</v>
      </c>
      <c r="D17" s="27" t="s">
        <v>96</v>
      </c>
      <c r="E17" s="37">
        <v>2.0</v>
      </c>
      <c r="F17" s="37">
        <v>150.0</v>
      </c>
      <c r="G17" s="37"/>
      <c r="H17" s="37" t="s">
        <v>1299</v>
      </c>
      <c r="I17" s="37" t="s">
        <v>1300</v>
      </c>
      <c r="J17" s="67" t="s">
        <v>1302</v>
      </c>
    </row>
    <row r="18">
      <c r="A18" s="51"/>
      <c r="B18" s="52"/>
      <c r="C18" s="52"/>
      <c r="D18" s="52" t="s">
        <v>101</v>
      </c>
      <c r="E18" s="54">
        <f t="shared" ref="E18:F18" si="1">sum(E12:E17)</f>
        <v>8</v>
      </c>
      <c r="F18" s="54">
        <f t="shared" si="1"/>
        <v>830</v>
      </c>
      <c r="G18" s="54"/>
      <c r="H18" s="54"/>
      <c r="I18" s="54"/>
      <c r="J18" s="56"/>
    </row>
    <row r="19" ht="7.5" customHeight="1">
      <c r="A19" s="23"/>
      <c r="B19" s="23"/>
      <c r="C19" s="23"/>
      <c r="D19" s="23"/>
      <c r="E19" s="25"/>
      <c r="F19" s="23"/>
      <c r="G19" s="23"/>
      <c r="H19" s="23"/>
      <c r="I19" s="25"/>
      <c r="J19" s="23"/>
    </row>
    <row r="20" ht="18.75" customHeight="1">
      <c r="A20" s="26" t="s">
        <v>135</v>
      </c>
      <c r="J20" s="26"/>
    </row>
    <row r="21" ht="18.75" customHeight="1">
      <c r="A21" s="27" t="s">
        <v>1311</v>
      </c>
      <c r="J21" s="27"/>
    </row>
    <row r="22">
      <c r="A22" s="28" t="s">
        <v>41</v>
      </c>
      <c r="B22" s="28" t="s">
        <v>42</v>
      </c>
      <c r="C22" s="29" t="s">
        <v>43</v>
      </c>
      <c r="D22" s="28" t="s">
        <v>46</v>
      </c>
      <c r="E22" s="29" t="s">
        <v>47</v>
      </c>
      <c r="F22" s="29" t="s">
        <v>48</v>
      </c>
      <c r="G22" s="29" t="s">
        <v>49</v>
      </c>
      <c r="H22" s="29" t="s">
        <v>50</v>
      </c>
      <c r="I22" s="29" t="s">
        <v>51</v>
      </c>
      <c r="J22" s="29" t="s">
        <v>1318</v>
      </c>
    </row>
    <row r="23">
      <c r="A23" s="37" t="s">
        <v>1276</v>
      </c>
      <c r="B23" s="27">
        <v>1.30202E7</v>
      </c>
      <c r="C23" s="27" t="b">
        <v>0</v>
      </c>
      <c r="D23" s="27" t="s">
        <v>58</v>
      </c>
      <c r="E23" s="37">
        <v>1.0</v>
      </c>
      <c r="F23" s="37">
        <v>150.0</v>
      </c>
      <c r="G23" s="37"/>
      <c r="H23" s="37" t="s">
        <v>1279</v>
      </c>
      <c r="I23" s="37" t="s">
        <v>1280</v>
      </c>
      <c r="J23" s="41"/>
    </row>
    <row r="24">
      <c r="A24" s="37" t="s">
        <v>1281</v>
      </c>
      <c r="B24" s="27">
        <v>1.30203E7</v>
      </c>
      <c r="C24" s="27" t="b">
        <v>1</v>
      </c>
      <c r="D24" s="27" t="s">
        <v>71</v>
      </c>
      <c r="E24" s="37">
        <v>1.0</v>
      </c>
      <c r="F24" s="37">
        <v>150.0</v>
      </c>
      <c r="G24" s="37"/>
      <c r="H24" s="37" t="s">
        <v>1282</v>
      </c>
      <c r="I24" s="37" t="s">
        <v>1283</v>
      </c>
      <c r="J24" s="41"/>
    </row>
    <row r="25">
      <c r="A25" s="37" t="s">
        <v>1284</v>
      </c>
      <c r="B25" s="27">
        <v>1.30204E7</v>
      </c>
      <c r="C25" s="27" t="b">
        <v>1</v>
      </c>
      <c r="D25" s="27" t="s">
        <v>82</v>
      </c>
      <c r="E25" s="37">
        <v>1.0</v>
      </c>
      <c r="F25" s="37">
        <v>150.0</v>
      </c>
      <c r="G25" s="37"/>
      <c r="H25" s="37" t="s">
        <v>1285</v>
      </c>
      <c r="I25" s="37" t="s">
        <v>1286</v>
      </c>
      <c r="J25" s="41"/>
    </row>
    <row r="26">
      <c r="A26" s="37" t="s">
        <v>1287</v>
      </c>
      <c r="B26" s="37">
        <v>1.30206E7</v>
      </c>
      <c r="C26" s="27" t="b">
        <v>1</v>
      </c>
      <c r="D26" s="27" t="s">
        <v>82</v>
      </c>
      <c r="E26" s="37">
        <v>1.0</v>
      </c>
      <c r="F26" s="37">
        <v>150.0</v>
      </c>
      <c r="G26" s="37"/>
      <c r="H26" s="37" t="s">
        <v>1289</v>
      </c>
      <c r="I26" s="37" t="s">
        <v>1290</v>
      </c>
      <c r="J26" s="41"/>
    </row>
    <row r="27">
      <c r="A27" s="37" t="s">
        <v>1329</v>
      </c>
      <c r="B27" s="37" t="s">
        <v>1292</v>
      </c>
      <c r="C27" s="27" t="b">
        <v>1</v>
      </c>
      <c r="D27" s="27" t="s">
        <v>96</v>
      </c>
      <c r="E27" s="37">
        <v>2.0</v>
      </c>
      <c r="F27" s="37">
        <v>40.0</v>
      </c>
      <c r="G27" s="37"/>
      <c r="H27" s="37" t="s">
        <v>1332</v>
      </c>
      <c r="I27" s="392" t="s">
        <v>1333</v>
      </c>
      <c r="J27" s="41"/>
    </row>
    <row r="28">
      <c r="A28" s="37" t="s">
        <v>1297</v>
      </c>
      <c r="B28" s="37" t="s">
        <v>1298</v>
      </c>
      <c r="C28" s="27" t="b">
        <v>1</v>
      </c>
      <c r="D28" s="27" t="s">
        <v>96</v>
      </c>
      <c r="E28" s="37">
        <v>2.0</v>
      </c>
      <c r="F28" s="37">
        <v>150.0</v>
      </c>
      <c r="G28" s="37"/>
      <c r="H28" s="37" t="s">
        <v>1299</v>
      </c>
      <c r="I28" s="392" t="s">
        <v>1300</v>
      </c>
      <c r="J28" s="67" t="s">
        <v>1337</v>
      </c>
    </row>
    <row r="29">
      <c r="A29" s="51"/>
      <c r="B29" s="52"/>
      <c r="C29" s="52"/>
      <c r="D29" s="52" t="s">
        <v>101</v>
      </c>
      <c r="E29" s="54">
        <f t="shared" ref="E29:F29" si="2">sum(E23:E28)</f>
        <v>8</v>
      </c>
      <c r="F29" s="54">
        <f t="shared" si="2"/>
        <v>790</v>
      </c>
      <c r="G29" s="54"/>
      <c r="H29" s="54"/>
      <c r="I29" s="54"/>
      <c r="J29" s="56"/>
    </row>
    <row r="30" ht="7.5" customHeight="1">
      <c r="A30" s="23"/>
      <c r="B30" s="23"/>
      <c r="C30" s="23"/>
      <c r="D30" s="23"/>
      <c r="E30" s="25"/>
      <c r="F30" s="23"/>
      <c r="G30" s="23"/>
      <c r="H30" s="23"/>
      <c r="I30" s="25"/>
      <c r="J30" s="23"/>
    </row>
    <row r="31" ht="18.75" customHeight="1">
      <c r="A31" s="26" t="s">
        <v>111</v>
      </c>
      <c r="J31" s="26"/>
    </row>
    <row r="32" ht="18.75" customHeight="1">
      <c r="A32" s="27" t="s">
        <v>1345</v>
      </c>
      <c r="J32" s="27"/>
    </row>
    <row r="33">
      <c r="A33" s="28" t="s">
        <v>41</v>
      </c>
      <c r="B33" s="28" t="s">
        <v>42</v>
      </c>
      <c r="C33" s="29" t="s">
        <v>43</v>
      </c>
      <c r="D33" s="28" t="s">
        <v>46</v>
      </c>
      <c r="E33" s="29" t="s">
        <v>47</v>
      </c>
      <c r="F33" s="29" t="s">
        <v>48</v>
      </c>
      <c r="G33" s="29" t="s">
        <v>49</v>
      </c>
      <c r="H33" s="29" t="s">
        <v>50</v>
      </c>
      <c r="I33" s="29" t="s">
        <v>51</v>
      </c>
      <c r="J33" s="29" t="s">
        <v>1350</v>
      </c>
    </row>
    <row r="34">
      <c r="A34" s="37" t="s">
        <v>1276</v>
      </c>
      <c r="B34" s="27">
        <v>1.30202E7</v>
      </c>
      <c r="C34" s="27" t="b">
        <v>0</v>
      </c>
      <c r="D34" s="27" t="s">
        <v>58</v>
      </c>
      <c r="E34" s="37">
        <v>1.0</v>
      </c>
      <c r="F34" s="37">
        <v>150.0</v>
      </c>
      <c r="G34" s="37"/>
      <c r="H34" s="37" t="s">
        <v>1351</v>
      </c>
      <c r="I34" s="37" t="s">
        <v>1280</v>
      </c>
      <c r="J34" s="41"/>
    </row>
    <row r="35">
      <c r="A35" s="37" t="s">
        <v>1281</v>
      </c>
      <c r="B35" s="27">
        <v>1.30203E7</v>
      </c>
      <c r="C35" s="27" t="b">
        <v>1</v>
      </c>
      <c r="D35" s="27" t="s">
        <v>71</v>
      </c>
      <c r="E35" s="37">
        <v>1.0</v>
      </c>
      <c r="F35" s="37">
        <v>150.0</v>
      </c>
      <c r="G35" s="37"/>
      <c r="H35" s="37" t="s">
        <v>1282</v>
      </c>
      <c r="I35" s="37" t="s">
        <v>1283</v>
      </c>
      <c r="J35" s="41"/>
    </row>
    <row r="36">
      <c r="A36" s="37" t="s">
        <v>1284</v>
      </c>
      <c r="B36" s="27">
        <v>1.30204E7</v>
      </c>
      <c r="C36" s="27" t="b">
        <v>1</v>
      </c>
      <c r="D36" s="27" t="s">
        <v>82</v>
      </c>
      <c r="E36" s="37">
        <v>1.0</v>
      </c>
      <c r="F36" s="37">
        <v>150.0</v>
      </c>
      <c r="G36" s="37"/>
      <c r="H36" s="37" t="s">
        <v>1285</v>
      </c>
      <c r="I36" s="37" t="s">
        <v>1286</v>
      </c>
      <c r="J36" s="41"/>
    </row>
    <row r="37">
      <c r="A37" s="37" t="s">
        <v>1287</v>
      </c>
      <c r="B37" s="37">
        <v>1.30206E7</v>
      </c>
      <c r="C37" s="27" t="b">
        <v>1</v>
      </c>
      <c r="D37" s="27" t="s">
        <v>82</v>
      </c>
      <c r="E37" s="37">
        <v>1.0</v>
      </c>
      <c r="F37" s="37">
        <v>150.0</v>
      </c>
      <c r="G37" s="37"/>
      <c r="H37" s="37" t="s">
        <v>1289</v>
      </c>
      <c r="I37" s="37" t="s">
        <v>1290</v>
      </c>
      <c r="J37" s="41"/>
    </row>
    <row r="38">
      <c r="A38" s="37" t="s">
        <v>1364</v>
      </c>
      <c r="B38" s="37" t="s">
        <v>1292</v>
      </c>
      <c r="C38" s="27" t="b">
        <v>1</v>
      </c>
      <c r="D38" s="27" t="s">
        <v>96</v>
      </c>
      <c r="E38" s="37">
        <v>2.0</v>
      </c>
      <c r="F38" s="37">
        <v>40.0</v>
      </c>
      <c r="G38" s="37"/>
      <c r="H38" s="37" t="s">
        <v>1366</v>
      </c>
      <c r="I38" s="392" t="s">
        <v>1286</v>
      </c>
      <c r="J38" s="41"/>
    </row>
    <row r="39">
      <c r="A39" s="37" t="s">
        <v>1297</v>
      </c>
      <c r="B39" s="37" t="s">
        <v>1298</v>
      </c>
      <c r="C39" s="27" t="b">
        <v>1</v>
      </c>
      <c r="D39" s="27" t="s">
        <v>96</v>
      </c>
      <c r="E39" s="37">
        <v>2.0</v>
      </c>
      <c r="F39" s="37">
        <v>150.0</v>
      </c>
      <c r="G39" s="37"/>
      <c r="H39" s="37" t="s">
        <v>1299</v>
      </c>
      <c r="I39" s="392" t="s">
        <v>1300</v>
      </c>
      <c r="J39" s="45" t="s">
        <v>1367</v>
      </c>
    </row>
    <row r="40">
      <c r="A40" s="51"/>
      <c r="B40" s="52"/>
      <c r="C40" s="52"/>
      <c r="D40" s="52" t="s">
        <v>101</v>
      </c>
      <c r="E40" s="54">
        <f t="shared" ref="E40:F40" si="3">sum(E34:E39)</f>
        <v>8</v>
      </c>
      <c r="F40" s="54">
        <f t="shared" si="3"/>
        <v>790</v>
      </c>
      <c r="G40" s="54"/>
      <c r="H40" s="54"/>
      <c r="I40" s="54"/>
      <c r="J40" s="56"/>
    </row>
    <row r="41" ht="7.5" customHeight="1">
      <c r="A41" s="23"/>
      <c r="B41" s="23"/>
      <c r="C41" s="23"/>
      <c r="D41" s="23"/>
      <c r="E41" s="25"/>
      <c r="F41" s="23"/>
      <c r="G41" s="23"/>
      <c r="H41" s="23"/>
      <c r="I41" s="25"/>
      <c r="J41" s="23"/>
    </row>
    <row r="42" ht="18.75" customHeight="1">
      <c r="A42" s="26" t="s">
        <v>169</v>
      </c>
      <c r="J42" s="26"/>
    </row>
    <row r="43" ht="18.75" customHeight="1">
      <c r="A43" s="27" t="s">
        <v>1368</v>
      </c>
      <c r="J43" s="27"/>
    </row>
    <row r="44">
      <c r="A44" s="28" t="s">
        <v>41</v>
      </c>
      <c r="B44" s="28" t="s">
        <v>42</v>
      </c>
      <c r="C44" s="29" t="s">
        <v>43</v>
      </c>
      <c r="D44" s="28" t="s">
        <v>46</v>
      </c>
      <c r="E44" s="29" t="s">
        <v>47</v>
      </c>
      <c r="F44" s="29" t="s">
        <v>48</v>
      </c>
      <c r="G44" s="29" t="s">
        <v>49</v>
      </c>
      <c r="H44" s="29" t="s">
        <v>50</v>
      </c>
      <c r="I44" s="29" t="s">
        <v>51</v>
      </c>
      <c r="J44" s="29" t="s">
        <v>1369</v>
      </c>
    </row>
    <row r="45">
      <c r="A45" s="37" t="s">
        <v>1276</v>
      </c>
      <c r="B45" s="27">
        <v>1.30202E7</v>
      </c>
      <c r="C45" s="27" t="b">
        <v>0</v>
      </c>
      <c r="D45" s="27" t="s">
        <v>58</v>
      </c>
      <c r="E45" s="37">
        <v>1.0</v>
      </c>
      <c r="F45" s="37">
        <v>150.0</v>
      </c>
      <c r="G45" s="37"/>
      <c r="H45" s="37" t="s">
        <v>1351</v>
      </c>
      <c r="I45" s="37" t="s">
        <v>1280</v>
      </c>
      <c r="J45" s="41"/>
    </row>
    <row r="46">
      <c r="A46" s="37" t="s">
        <v>1281</v>
      </c>
      <c r="B46" s="27">
        <v>1.30203E7</v>
      </c>
      <c r="C46" s="27" t="b">
        <v>1</v>
      </c>
      <c r="D46" s="27" t="s">
        <v>71</v>
      </c>
      <c r="E46" s="37">
        <v>1.0</v>
      </c>
      <c r="F46" s="37">
        <v>150.0</v>
      </c>
      <c r="G46" s="37"/>
      <c r="H46" s="37" t="s">
        <v>1282</v>
      </c>
      <c r="I46" s="37" t="s">
        <v>1283</v>
      </c>
      <c r="J46" s="41"/>
    </row>
    <row r="47">
      <c r="A47" s="37" t="s">
        <v>1284</v>
      </c>
      <c r="B47" s="27">
        <v>1.30204E7</v>
      </c>
      <c r="C47" s="27" t="b">
        <v>1</v>
      </c>
      <c r="D47" s="27" t="s">
        <v>82</v>
      </c>
      <c r="E47" s="37">
        <v>1.0</v>
      </c>
      <c r="F47" s="37">
        <v>150.0</v>
      </c>
      <c r="G47" s="37"/>
      <c r="H47" s="37" t="s">
        <v>1285</v>
      </c>
      <c r="I47" s="37" t="s">
        <v>1286</v>
      </c>
      <c r="J47" s="41"/>
    </row>
    <row r="48">
      <c r="A48" s="37" t="s">
        <v>1287</v>
      </c>
      <c r="B48" s="37">
        <v>1.30206E7</v>
      </c>
      <c r="C48" s="27" t="b">
        <v>1</v>
      </c>
      <c r="D48" s="27" t="s">
        <v>82</v>
      </c>
      <c r="E48" s="37">
        <v>1.0</v>
      </c>
      <c r="F48" s="37">
        <v>150.0</v>
      </c>
      <c r="G48" s="37"/>
      <c r="H48" s="37" t="s">
        <v>1289</v>
      </c>
      <c r="I48" s="37" t="s">
        <v>1290</v>
      </c>
      <c r="J48" s="41"/>
    </row>
    <row r="49">
      <c r="A49" s="37" t="s">
        <v>1372</v>
      </c>
      <c r="B49" s="37" t="s">
        <v>1292</v>
      </c>
      <c r="C49" s="27" t="b">
        <v>1</v>
      </c>
      <c r="D49" s="27" t="s">
        <v>96</v>
      </c>
      <c r="E49" s="37">
        <v>2.0</v>
      </c>
      <c r="F49" s="37">
        <v>60.0</v>
      </c>
      <c r="G49" s="37"/>
      <c r="H49" s="37" t="s">
        <v>1374</v>
      </c>
      <c r="I49" s="37" t="s">
        <v>1375</v>
      </c>
      <c r="J49" s="67"/>
    </row>
    <row r="50">
      <c r="A50" s="37" t="s">
        <v>1297</v>
      </c>
      <c r="B50" s="37" t="s">
        <v>1298</v>
      </c>
      <c r="C50" s="27" t="b">
        <v>1</v>
      </c>
      <c r="D50" s="27" t="s">
        <v>96</v>
      </c>
      <c r="E50" s="37">
        <v>2.0</v>
      </c>
      <c r="F50" s="37">
        <v>150.0</v>
      </c>
      <c r="G50" s="37"/>
      <c r="H50" s="37" t="s">
        <v>1299</v>
      </c>
      <c r="I50" s="392" t="s">
        <v>1300</v>
      </c>
      <c r="J50" s="67" t="s">
        <v>1376</v>
      </c>
    </row>
    <row r="51">
      <c r="A51" s="51"/>
      <c r="B51" s="52"/>
      <c r="C51" s="52"/>
      <c r="D51" s="52" t="s">
        <v>101</v>
      </c>
      <c r="E51" s="54">
        <f t="shared" ref="E51:F51" si="4">sum(E45:E50)</f>
        <v>8</v>
      </c>
      <c r="F51" s="54">
        <f t="shared" si="4"/>
        <v>810</v>
      </c>
      <c r="G51" s="54"/>
      <c r="H51" s="54"/>
      <c r="I51" s="54"/>
      <c r="J51" s="56"/>
    </row>
    <row r="52" ht="7.5" customHeight="1">
      <c r="A52" s="23"/>
      <c r="B52" s="23"/>
      <c r="C52" s="23"/>
      <c r="D52" s="23"/>
      <c r="E52" s="25"/>
      <c r="F52" s="23"/>
      <c r="G52" s="23"/>
      <c r="H52" s="23"/>
      <c r="I52" s="25"/>
      <c r="J52" s="23"/>
    </row>
    <row r="53" ht="18.75" customHeight="1">
      <c r="A53" s="26" t="s">
        <v>205</v>
      </c>
      <c r="J53" s="26"/>
    </row>
    <row r="54" ht="18.75" customHeight="1">
      <c r="A54" s="27" t="s">
        <v>1377</v>
      </c>
      <c r="J54" s="27"/>
    </row>
    <row r="55">
      <c r="A55" s="28" t="s">
        <v>41</v>
      </c>
      <c r="B55" s="28" t="s">
        <v>42</v>
      </c>
      <c r="C55" s="29" t="s">
        <v>43</v>
      </c>
      <c r="D55" s="28" t="s">
        <v>46</v>
      </c>
      <c r="E55" s="29" t="s">
        <v>47</v>
      </c>
      <c r="F55" s="29" t="s">
        <v>48</v>
      </c>
      <c r="G55" s="29" t="s">
        <v>49</v>
      </c>
      <c r="H55" s="29" t="s">
        <v>50</v>
      </c>
      <c r="I55" s="29" t="s">
        <v>51</v>
      </c>
      <c r="J55" s="29" t="s">
        <v>1378</v>
      </c>
    </row>
    <row r="56">
      <c r="A56" s="37" t="s">
        <v>1276</v>
      </c>
      <c r="B56" s="27">
        <v>1.30202E7</v>
      </c>
      <c r="C56" s="27" t="b">
        <v>0</v>
      </c>
      <c r="D56" s="27" t="s">
        <v>58</v>
      </c>
      <c r="E56" s="37">
        <v>1.0</v>
      </c>
      <c r="F56" s="37">
        <v>150.0</v>
      </c>
      <c r="G56" s="37"/>
      <c r="H56" s="37" t="s">
        <v>1351</v>
      </c>
      <c r="I56" s="37" t="s">
        <v>1280</v>
      </c>
      <c r="J56" s="41"/>
    </row>
    <row r="57">
      <c r="A57" s="37" t="s">
        <v>1281</v>
      </c>
      <c r="B57" s="27">
        <v>1.30203E7</v>
      </c>
      <c r="C57" s="27" t="b">
        <v>1</v>
      </c>
      <c r="D57" s="27" t="s">
        <v>71</v>
      </c>
      <c r="E57" s="37">
        <v>1.0</v>
      </c>
      <c r="F57" s="37">
        <v>150.0</v>
      </c>
      <c r="G57" s="37"/>
      <c r="H57" s="37" t="s">
        <v>1282</v>
      </c>
      <c r="I57" s="37" t="s">
        <v>1283</v>
      </c>
      <c r="J57" s="41"/>
    </row>
    <row r="58">
      <c r="A58" s="37" t="s">
        <v>1284</v>
      </c>
      <c r="B58" s="27">
        <v>1.30204E7</v>
      </c>
      <c r="C58" s="27" t="b">
        <v>1</v>
      </c>
      <c r="D58" s="27" t="s">
        <v>82</v>
      </c>
      <c r="E58" s="37">
        <v>1.0</v>
      </c>
      <c r="F58" s="37">
        <v>150.0</v>
      </c>
      <c r="G58" s="37"/>
      <c r="H58" s="37" t="s">
        <v>1285</v>
      </c>
      <c r="I58" s="37" t="s">
        <v>1286</v>
      </c>
      <c r="J58" s="41"/>
    </row>
    <row r="59">
      <c r="A59" s="37" t="s">
        <v>1287</v>
      </c>
      <c r="B59" s="37">
        <v>1.30206E7</v>
      </c>
      <c r="C59" s="27" t="b">
        <v>1</v>
      </c>
      <c r="D59" s="27" t="s">
        <v>82</v>
      </c>
      <c r="E59" s="37">
        <v>1.0</v>
      </c>
      <c r="F59" s="37">
        <v>150.0</v>
      </c>
      <c r="G59" s="37"/>
      <c r="H59" s="37" t="s">
        <v>1289</v>
      </c>
      <c r="I59" s="37" t="s">
        <v>1290</v>
      </c>
      <c r="J59" s="41"/>
    </row>
    <row r="60">
      <c r="A60" s="37" t="s">
        <v>1385</v>
      </c>
      <c r="B60" s="37" t="s">
        <v>1292</v>
      </c>
      <c r="C60" s="27" t="b">
        <v>1</v>
      </c>
      <c r="D60" s="27" t="s">
        <v>96</v>
      </c>
      <c r="E60" s="37">
        <v>2.0</v>
      </c>
      <c r="F60" s="37">
        <v>40.0</v>
      </c>
      <c r="G60" s="37"/>
      <c r="H60" s="37" t="s">
        <v>1386</v>
      </c>
      <c r="I60" s="37" t="s">
        <v>1286</v>
      </c>
      <c r="J60" s="41"/>
    </row>
    <row r="61">
      <c r="A61" s="37" t="s">
        <v>1297</v>
      </c>
      <c r="B61" s="37" t="s">
        <v>1298</v>
      </c>
      <c r="C61" s="27" t="b">
        <v>1</v>
      </c>
      <c r="D61" s="27" t="s">
        <v>96</v>
      </c>
      <c r="E61" s="37">
        <v>2.0</v>
      </c>
      <c r="F61" s="37">
        <v>150.0</v>
      </c>
      <c r="G61" s="37"/>
      <c r="H61" s="37" t="s">
        <v>1299</v>
      </c>
      <c r="I61" s="392" t="s">
        <v>1300</v>
      </c>
      <c r="J61" s="67" t="s">
        <v>1387</v>
      </c>
    </row>
    <row r="62">
      <c r="A62" s="51"/>
      <c r="B62" s="52"/>
      <c r="C62" s="52"/>
      <c r="D62" s="52" t="s">
        <v>101</v>
      </c>
      <c r="E62" s="54">
        <f t="shared" ref="E62:F62" si="5">sum(E56:E61)</f>
        <v>8</v>
      </c>
      <c r="F62" s="54">
        <f t="shared" si="5"/>
        <v>790</v>
      </c>
      <c r="G62" s="54"/>
      <c r="H62" s="54"/>
      <c r="I62" s="54"/>
      <c r="J62" s="56"/>
    </row>
  </sheetData>
  <mergeCells count="19">
    <mergeCell ref="A1:I1"/>
    <mergeCell ref="B2:I2"/>
    <mergeCell ref="J2:J3"/>
    <mergeCell ref="B3:I3"/>
    <mergeCell ref="B4:I4"/>
    <mergeCell ref="B5:I5"/>
    <mergeCell ref="J5:J6"/>
    <mergeCell ref="A32:I32"/>
    <mergeCell ref="A42:I42"/>
    <mergeCell ref="A43:I43"/>
    <mergeCell ref="A53:I53"/>
    <mergeCell ref="A54:I54"/>
    <mergeCell ref="B6:I6"/>
    <mergeCell ref="B7:I7"/>
    <mergeCell ref="A9:I9"/>
    <mergeCell ref="A10:I10"/>
    <mergeCell ref="A20:I20"/>
    <mergeCell ref="A21:I21"/>
    <mergeCell ref="A31:I31"/>
  </mergeCells>
  <dataValidations>
    <dataValidation type="list" allowBlank="1" sqref="D12:D17 D23:D28 D34:D39 D45:D50 D56:D61">
      <formula1>'Data Validation'!$A$2:$A$5</formula1>
    </dataValidation>
    <dataValidation type="list" allowBlank="1" sqref="E12:E17 E23:E28 E34:E39 E45:E50 E56:E61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25" footer="0.0" header="0.0" left="0.7" right="0.7" top="0.5"/>
  <pageSetup cellComments="atEnd" orientation="landscape" pageOrder="overThenDown"/>
  <rowBreaks count="2" manualBreakCount="2">
    <brk id="30" man="1"/>
    <brk id="62" man="1"/>
  </rowBreaks>
  <colBreaks count="2" manualBreakCount="2">
    <brk man="1"/>
    <brk id="10" man="1"/>
  </colBreaks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1.75"/>
    <col customWidth="1" min="9" max="9" width="29.88"/>
    <col customWidth="1" min="10" max="10" width="28.88"/>
  </cols>
  <sheetData>
    <row r="1" ht="66.75" customHeight="1">
      <c r="A1" s="1" t="s">
        <v>1273</v>
      </c>
      <c r="J1" s="2" t="s">
        <v>1</v>
      </c>
    </row>
    <row r="2">
      <c r="A2" s="3" t="s">
        <v>2</v>
      </c>
      <c r="B2" s="5" t="s">
        <v>1275</v>
      </c>
      <c r="J2" s="13" t="s">
        <v>6</v>
      </c>
    </row>
    <row r="3">
      <c r="A3" s="3" t="s">
        <v>14</v>
      </c>
      <c r="B3" s="5" t="s">
        <v>1277</v>
      </c>
    </row>
    <row r="4">
      <c r="A4" s="3" t="s">
        <v>17</v>
      </c>
      <c r="B4" s="5" t="s">
        <v>612</v>
      </c>
      <c r="J4" s="18" t="s">
        <v>20</v>
      </c>
    </row>
    <row r="5">
      <c r="A5" s="3" t="s">
        <v>26</v>
      </c>
      <c r="B5" s="19">
        <v>2.0</v>
      </c>
      <c r="J5" s="24" t="s">
        <v>30</v>
      </c>
    </row>
    <row r="6">
      <c r="A6" s="3" t="s">
        <v>34</v>
      </c>
      <c r="B6" s="19">
        <v>2.0</v>
      </c>
    </row>
    <row r="7">
      <c r="A7" s="3" t="s">
        <v>36</v>
      </c>
      <c r="B7" s="5" t="s">
        <v>1293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112" t="s">
        <v>1296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142</v>
      </c>
      <c r="H11" s="29" t="s">
        <v>50</v>
      </c>
      <c r="I11" s="29" t="s">
        <v>51</v>
      </c>
      <c r="J11" s="29" t="s">
        <v>1303</v>
      </c>
    </row>
    <row r="12">
      <c r="A12" s="69" t="s">
        <v>1304</v>
      </c>
      <c r="B12" s="69">
        <v>1.30142E7</v>
      </c>
      <c r="C12" s="69" t="b">
        <v>0</v>
      </c>
      <c r="D12" s="69" t="s">
        <v>58</v>
      </c>
      <c r="E12" s="63">
        <v>1.0</v>
      </c>
      <c r="F12" s="63">
        <v>0.0</v>
      </c>
      <c r="G12" s="299"/>
      <c r="H12" s="63"/>
      <c r="I12" s="388"/>
      <c r="J12" s="41"/>
    </row>
    <row r="13">
      <c r="A13" s="69" t="s">
        <v>827</v>
      </c>
      <c r="B13" s="69">
        <v>1.30143E7</v>
      </c>
      <c r="C13" s="69" t="b">
        <v>0</v>
      </c>
      <c r="D13" s="69" t="s">
        <v>71</v>
      </c>
      <c r="E13" s="63">
        <v>1.0</v>
      </c>
      <c r="F13" s="63">
        <v>25.0</v>
      </c>
      <c r="G13" s="299"/>
      <c r="H13" s="63"/>
      <c r="I13" s="388"/>
      <c r="J13" s="41"/>
    </row>
    <row r="14">
      <c r="A14" s="69" t="s">
        <v>1305</v>
      </c>
      <c r="B14" s="69">
        <v>1.30144E7</v>
      </c>
      <c r="C14" s="69" t="b">
        <v>1</v>
      </c>
      <c r="D14" s="69" t="s">
        <v>82</v>
      </c>
      <c r="E14" s="63">
        <v>2.0</v>
      </c>
      <c r="F14" s="63">
        <v>25.0</v>
      </c>
      <c r="G14" s="299"/>
      <c r="H14" s="63" t="s">
        <v>1306</v>
      </c>
      <c r="I14" s="388"/>
      <c r="J14" s="41"/>
    </row>
    <row r="15">
      <c r="A15" s="69" t="s">
        <v>1307</v>
      </c>
      <c r="B15" s="69">
        <v>1.30145E7</v>
      </c>
      <c r="C15" s="69" t="b">
        <v>0</v>
      </c>
      <c r="D15" s="69" t="s">
        <v>96</v>
      </c>
      <c r="E15" s="63">
        <v>2.0</v>
      </c>
      <c r="F15" s="63">
        <v>0.0</v>
      </c>
      <c r="G15" s="63"/>
      <c r="H15" s="63"/>
      <c r="I15" s="388"/>
      <c r="J15" s="45" t="s">
        <v>1310</v>
      </c>
    </row>
    <row r="16">
      <c r="A16" s="51"/>
      <c r="B16" s="52"/>
      <c r="C16" s="52"/>
      <c r="D16" s="52" t="s">
        <v>101</v>
      </c>
      <c r="E16" s="54">
        <f t="shared" ref="E16:G16" si="1">sum(E12:E15)</f>
        <v>6</v>
      </c>
      <c r="F16" s="54">
        <f t="shared" si="1"/>
        <v>50</v>
      </c>
      <c r="G16" s="54">
        <f t="shared" si="1"/>
        <v>0</v>
      </c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26" t="s">
        <v>135</v>
      </c>
      <c r="J18" s="26"/>
    </row>
    <row r="19" ht="18.75" customHeight="1">
      <c r="A19" s="112" t="s">
        <v>1219</v>
      </c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142</v>
      </c>
      <c r="H20" s="29" t="s">
        <v>50</v>
      </c>
      <c r="I20" s="29" t="s">
        <v>51</v>
      </c>
      <c r="J20" s="29" t="s">
        <v>1312</v>
      </c>
    </row>
    <row r="21">
      <c r="A21" s="69" t="s">
        <v>1223</v>
      </c>
      <c r="B21" s="69">
        <v>1.30242E7</v>
      </c>
      <c r="C21" s="69" t="b">
        <v>0</v>
      </c>
      <c r="D21" s="69" t="s">
        <v>58</v>
      </c>
      <c r="E21" s="63">
        <v>1.0</v>
      </c>
      <c r="F21" s="63">
        <v>75.0</v>
      </c>
      <c r="G21" s="299"/>
      <c r="H21" s="63" t="s">
        <v>1313</v>
      </c>
      <c r="I21" s="388"/>
      <c r="J21" s="297"/>
    </row>
    <row r="22">
      <c r="A22" s="69" t="s">
        <v>1314</v>
      </c>
      <c r="B22" s="69">
        <v>1.30247E7</v>
      </c>
      <c r="C22" s="69" t="b">
        <v>0</v>
      </c>
      <c r="D22" s="69" t="s">
        <v>71</v>
      </c>
      <c r="E22" s="63">
        <v>1.0</v>
      </c>
      <c r="F22" s="63">
        <v>40.0</v>
      </c>
      <c r="G22" s="299"/>
      <c r="H22" s="63" t="s">
        <v>1315</v>
      </c>
      <c r="I22" s="388"/>
      <c r="J22" s="69" t="s">
        <v>1316</v>
      </c>
    </row>
    <row r="23">
      <c r="A23" s="69" t="s">
        <v>1317</v>
      </c>
      <c r="B23" s="69">
        <v>1.3025E7</v>
      </c>
      <c r="C23" s="69" t="b">
        <v>0</v>
      </c>
      <c r="D23" s="69" t="s">
        <v>82</v>
      </c>
      <c r="E23" s="63">
        <v>2.0</v>
      </c>
      <c r="F23" s="63">
        <v>25.0</v>
      </c>
      <c r="G23" s="299"/>
      <c r="H23" s="63" t="s">
        <v>1320</v>
      </c>
      <c r="I23" s="388"/>
      <c r="J23" s="69" t="s">
        <v>1316</v>
      </c>
    </row>
    <row r="24">
      <c r="A24" s="69" t="s">
        <v>1322</v>
      </c>
      <c r="B24" s="69">
        <v>1.302501E7</v>
      </c>
      <c r="C24" s="69" t="b">
        <v>0</v>
      </c>
      <c r="D24" s="69" t="s">
        <v>96</v>
      </c>
      <c r="E24" s="63">
        <v>2.0</v>
      </c>
      <c r="F24" s="63">
        <v>50.0</v>
      </c>
      <c r="G24" s="299"/>
      <c r="H24" s="63" t="s">
        <v>1324</v>
      </c>
      <c r="I24" s="388"/>
      <c r="J24" s="69" t="s">
        <v>1316</v>
      </c>
    </row>
    <row r="25">
      <c r="A25" s="51"/>
      <c r="B25" s="52"/>
      <c r="C25" s="52"/>
      <c r="D25" s="52" t="s">
        <v>101</v>
      </c>
      <c r="E25" s="54">
        <f t="shared" ref="E25:G25" si="2">sum(E21:E24)</f>
        <v>6</v>
      </c>
      <c r="F25" s="54">
        <f t="shared" si="2"/>
        <v>190</v>
      </c>
      <c r="G25" s="54">
        <f t="shared" si="2"/>
        <v>0</v>
      </c>
      <c r="H25" s="54"/>
      <c r="I25" s="54"/>
      <c r="J25" s="56"/>
    </row>
    <row r="26" ht="7.5" customHeight="1">
      <c r="A26" s="23"/>
      <c r="B26" s="23"/>
      <c r="C26" s="23"/>
      <c r="D26" s="23"/>
      <c r="E26" s="25"/>
      <c r="F26" s="23"/>
      <c r="G26" s="23"/>
      <c r="H26" s="23"/>
      <c r="I26" s="25"/>
      <c r="J26" s="23"/>
    </row>
  </sheetData>
  <mergeCells count="13">
    <mergeCell ref="B6:I6"/>
    <mergeCell ref="B7:I7"/>
    <mergeCell ref="A9:I9"/>
    <mergeCell ref="A10:I10"/>
    <mergeCell ref="A18:I18"/>
    <mergeCell ref="A19:I19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5 D21:D24">
      <formula1>'Data Validation'!$A$2:$A$5</formula1>
    </dataValidation>
    <dataValidation type="list" allowBlank="1" sqref="E12:E15 E21:E24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 t="s">
        <v>1278</v>
      </c>
      <c r="J1" s="2" t="s">
        <v>1</v>
      </c>
    </row>
    <row r="2">
      <c r="A2" s="3" t="s">
        <v>2</v>
      </c>
      <c r="B2" s="5" t="s">
        <v>244</v>
      </c>
      <c r="J2" s="13" t="s">
        <v>6</v>
      </c>
    </row>
    <row r="3">
      <c r="A3" s="3" t="s">
        <v>14</v>
      </c>
      <c r="B3" s="5" t="s">
        <v>1288</v>
      </c>
    </row>
    <row r="4">
      <c r="A4" s="3" t="s">
        <v>17</v>
      </c>
      <c r="B4" s="5" t="s">
        <v>612</v>
      </c>
      <c r="J4" s="18" t="s">
        <v>20</v>
      </c>
    </row>
    <row r="5">
      <c r="A5" s="3" t="s">
        <v>26</v>
      </c>
      <c r="B5" s="5" t="s">
        <v>1301</v>
      </c>
      <c r="J5" s="24" t="s">
        <v>30</v>
      </c>
    </row>
    <row r="6">
      <c r="A6" s="3" t="s">
        <v>34</v>
      </c>
      <c r="B6" s="19"/>
    </row>
    <row r="7">
      <c r="A7" s="3" t="s">
        <v>36</v>
      </c>
      <c r="B7" s="5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495</v>
      </c>
      <c r="J9" s="26"/>
    </row>
    <row r="10" ht="18.75" customHeight="1">
      <c r="A10" s="27"/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1308</v>
      </c>
    </row>
    <row r="12">
      <c r="A12" s="389" t="s">
        <v>1309</v>
      </c>
      <c r="B12" s="27">
        <v>1.30292E7</v>
      </c>
      <c r="C12" s="27" t="b">
        <v>0</v>
      </c>
      <c r="D12" s="27" t="s">
        <v>58</v>
      </c>
      <c r="E12" s="37">
        <v>1.0</v>
      </c>
      <c r="F12" s="37">
        <v>175.0</v>
      </c>
      <c r="G12" s="37"/>
      <c r="H12" s="85" t="s">
        <v>1319</v>
      </c>
      <c r="I12" s="85" t="s">
        <v>1321</v>
      </c>
      <c r="J12" s="41"/>
    </row>
    <row r="13">
      <c r="A13" s="389" t="s">
        <v>1323</v>
      </c>
      <c r="B13" s="27">
        <v>1.30294E7</v>
      </c>
      <c r="C13" s="34" t="b">
        <v>0</v>
      </c>
      <c r="D13" s="27" t="s">
        <v>82</v>
      </c>
      <c r="E13" s="37">
        <v>0.5</v>
      </c>
      <c r="F13" s="37">
        <v>100.0</v>
      </c>
      <c r="G13" s="37"/>
      <c r="H13" s="85" t="s">
        <v>1325</v>
      </c>
      <c r="I13" s="85" t="s">
        <v>88</v>
      </c>
      <c r="J13" s="45" t="s">
        <v>1326</v>
      </c>
    </row>
    <row r="14">
      <c r="A14" s="389" t="s">
        <v>403</v>
      </c>
      <c r="B14" s="27"/>
      <c r="C14" s="34" t="b">
        <v>0</v>
      </c>
      <c r="D14" s="27"/>
      <c r="E14" s="37"/>
      <c r="F14" s="37"/>
      <c r="G14" s="37"/>
      <c r="H14" s="85" t="s">
        <v>1325</v>
      </c>
      <c r="I14" s="85" t="s">
        <v>88</v>
      </c>
      <c r="J14" s="45"/>
    </row>
    <row r="15">
      <c r="A15" s="390" t="s">
        <v>243</v>
      </c>
      <c r="B15" s="27"/>
      <c r="C15" s="34" t="b">
        <v>0</v>
      </c>
      <c r="D15" s="27"/>
      <c r="E15" s="37"/>
      <c r="F15" s="37"/>
      <c r="G15" s="37"/>
      <c r="H15" s="85" t="s">
        <v>1319</v>
      </c>
      <c r="I15" s="85" t="s">
        <v>1321</v>
      </c>
      <c r="J15" s="41"/>
    </row>
    <row r="16">
      <c r="A16" s="391" t="s">
        <v>1327</v>
      </c>
      <c r="B16" s="27">
        <v>1.30301E7</v>
      </c>
      <c r="C16" s="34" t="b">
        <v>0</v>
      </c>
      <c r="D16" s="27" t="s">
        <v>96</v>
      </c>
      <c r="E16" s="37">
        <v>2.0</v>
      </c>
      <c r="F16" s="37">
        <v>100.0</v>
      </c>
      <c r="G16" s="37"/>
      <c r="H16" s="85" t="s">
        <v>1330</v>
      </c>
      <c r="I16" s="85" t="s">
        <v>1331</v>
      </c>
      <c r="J16" s="41"/>
    </row>
    <row r="17">
      <c r="A17" s="51"/>
      <c r="B17" s="52"/>
      <c r="C17" s="52"/>
      <c r="D17" s="52" t="s">
        <v>101</v>
      </c>
      <c r="E17" s="54">
        <f t="shared" ref="E17:G17" si="1">sum(E12:E16)</f>
        <v>3.5</v>
      </c>
      <c r="F17" s="54">
        <f t="shared" si="1"/>
        <v>375</v>
      </c>
      <c r="G17" s="54">
        <f t="shared" si="1"/>
        <v>0</v>
      </c>
      <c r="H17" s="54"/>
      <c r="I17" s="54"/>
      <c r="J17" s="56"/>
    </row>
    <row r="18" ht="7.5" customHeight="1">
      <c r="A18" s="23"/>
      <c r="B18" s="23"/>
      <c r="C18" s="23"/>
      <c r="D18" s="23"/>
      <c r="E18" s="25"/>
      <c r="F18" s="23"/>
      <c r="G18" s="23"/>
      <c r="H18" s="23"/>
      <c r="I18" s="25"/>
      <c r="J18" s="23"/>
    </row>
    <row r="19" ht="18.75" customHeight="1">
      <c r="A19" s="26" t="s">
        <v>1335</v>
      </c>
      <c r="J19" s="26"/>
    </row>
    <row r="20" ht="18.75" customHeight="1">
      <c r="A20" s="27"/>
      <c r="J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48</v>
      </c>
      <c r="G21" s="29" t="s">
        <v>49</v>
      </c>
      <c r="H21" s="29" t="s">
        <v>50</v>
      </c>
      <c r="I21" s="29" t="s">
        <v>51</v>
      </c>
      <c r="J21" s="29" t="s">
        <v>1338</v>
      </c>
    </row>
    <row r="22">
      <c r="A22" s="33" t="s">
        <v>1257</v>
      </c>
      <c r="B22" s="27">
        <v>1.30183E7</v>
      </c>
      <c r="C22" s="34" t="b">
        <v>0</v>
      </c>
      <c r="D22" s="27" t="s">
        <v>71</v>
      </c>
      <c r="E22" s="37">
        <v>1.0</v>
      </c>
      <c r="F22" s="37">
        <v>100.0</v>
      </c>
      <c r="G22" s="37"/>
      <c r="H22" s="85" t="s">
        <v>1339</v>
      </c>
      <c r="I22" s="132" t="s">
        <v>1340</v>
      </c>
      <c r="J22" s="41"/>
    </row>
    <row r="23">
      <c r="A23" s="33" t="s">
        <v>1341</v>
      </c>
      <c r="B23" s="27">
        <v>1.30184E7</v>
      </c>
      <c r="C23" s="34" t="b">
        <v>0</v>
      </c>
      <c r="D23" s="27" t="s">
        <v>82</v>
      </c>
      <c r="E23" s="37">
        <v>1.0</v>
      </c>
      <c r="F23" s="37">
        <v>75.0</v>
      </c>
      <c r="G23" s="37"/>
      <c r="H23" s="85" t="s">
        <v>1342</v>
      </c>
      <c r="I23" s="85" t="s">
        <v>1343</v>
      </c>
      <c r="J23" s="41"/>
    </row>
    <row r="24">
      <c r="A24" s="33" t="s">
        <v>1344</v>
      </c>
      <c r="B24" s="27"/>
      <c r="C24" s="34" t="b">
        <v>0</v>
      </c>
      <c r="D24" s="27"/>
      <c r="E24" s="37"/>
      <c r="F24" s="37"/>
      <c r="G24" s="37"/>
      <c r="H24" s="85" t="s">
        <v>1342</v>
      </c>
      <c r="I24" s="85" t="s">
        <v>1343</v>
      </c>
      <c r="J24" s="45" t="s">
        <v>930</v>
      </c>
    </row>
    <row r="25">
      <c r="A25" s="33" t="s">
        <v>1347</v>
      </c>
      <c r="B25" s="27">
        <v>1.30187E7</v>
      </c>
      <c r="C25" s="34" t="b">
        <v>0</v>
      </c>
      <c r="D25" s="27" t="s">
        <v>82</v>
      </c>
      <c r="E25" s="37">
        <v>1.0</v>
      </c>
      <c r="F25" s="37">
        <v>75.0</v>
      </c>
      <c r="G25" s="37"/>
      <c r="H25" s="85" t="s">
        <v>1348</v>
      </c>
      <c r="I25" s="85" t="s">
        <v>1349</v>
      </c>
      <c r="J25" s="41"/>
    </row>
    <row r="26">
      <c r="A26" s="51"/>
      <c r="B26" s="52"/>
      <c r="C26" s="52"/>
      <c r="D26" s="52" t="s">
        <v>101</v>
      </c>
      <c r="E26" s="54">
        <f t="shared" ref="E26:G26" si="2">sum(E22:E25)</f>
        <v>3</v>
      </c>
      <c r="F26" s="54">
        <f t="shared" si="2"/>
        <v>250</v>
      </c>
      <c r="G26" s="54">
        <f t="shared" si="2"/>
        <v>0</v>
      </c>
      <c r="H26" s="54"/>
      <c r="I26" s="54"/>
      <c r="J26" s="56"/>
    </row>
    <row r="27" ht="7.5" customHeight="1">
      <c r="A27" s="23"/>
      <c r="B27" s="23"/>
      <c r="C27" s="23"/>
      <c r="D27" s="23"/>
      <c r="E27" s="25"/>
      <c r="F27" s="23"/>
      <c r="G27" s="23"/>
      <c r="H27" s="23"/>
      <c r="I27" s="25"/>
      <c r="J27" s="23"/>
    </row>
    <row r="28" ht="18.75" customHeight="1">
      <c r="A28" s="26" t="s">
        <v>1354</v>
      </c>
      <c r="J28" s="26"/>
    </row>
    <row r="29" ht="18.75" customHeight="1">
      <c r="A29" s="27"/>
      <c r="J29" s="27"/>
    </row>
    <row r="30">
      <c r="A30" s="28" t="s">
        <v>41</v>
      </c>
      <c r="B30" s="28" t="s">
        <v>42</v>
      </c>
      <c r="C30" s="29" t="s">
        <v>43</v>
      </c>
      <c r="D30" s="28" t="s">
        <v>46</v>
      </c>
      <c r="E30" s="29" t="s">
        <v>47</v>
      </c>
      <c r="F30" s="29" t="s">
        <v>48</v>
      </c>
      <c r="G30" s="29" t="s">
        <v>49</v>
      </c>
      <c r="H30" s="29" t="s">
        <v>50</v>
      </c>
      <c r="I30" s="29" t="s">
        <v>51</v>
      </c>
      <c r="J30" s="29" t="s">
        <v>1356</v>
      </c>
    </row>
    <row r="31">
      <c r="A31" s="33" t="s">
        <v>1357</v>
      </c>
      <c r="B31" s="27">
        <v>1.30292E7</v>
      </c>
      <c r="C31" s="34" t="b">
        <v>0</v>
      </c>
      <c r="D31" s="27" t="s">
        <v>58</v>
      </c>
      <c r="E31" s="37">
        <v>1.0</v>
      </c>
      <c r="F31" s="37">
        <v>175.0</v>
      </c>
      <c r="G31" s="37"/>
      <c r="H31" s="37"/>
      <c r="I31" s="37"/>
      <c r="J31" s="41"/>
    </row>
    <row r="32">
      <c r="A32" s="33" t="s">
        <v>1358</v>
      </c>
      <c r="B32" s="27">
        <v>1.30296E7</v>
      </c>
      <c r="C32" s="34" t="b">
        <v>0</v>
      </c>
      <c r="D32" s="27" t="s">
        <v>71</v>
      </c>
      <c r="E32" s="37">
        <v>0.5</v>
      </c>
      <c r="F32" s="37">
        <v>75.0</v>
      </c>
      <c r="G32" s="37"/>
      <c r="H32" s="85" t="s">
        <v>1348</v>
      </c>
      <c r="I32" s="85" t="s">
        <v>1349</v>
      </c>
      <c r="J32" s="41"/>
    </row>
    <row r="33">
      <c r="A33" s="33" t="s">
        <v>924</v>
      </c>
      <c r="B33" s="27" t="s">
        <v>1360</v>
      </c>
      <c r="C33" s="34" t="b">
        <v>0</v>
      </c>
      <c r="D33" s="27" t="s">
        <v>82</v>
      </c>
      <c r="E33" s="37">
        <v>1.0</v>
      </c>
      <c r="F33" s="37">
        <v>0.0</v>
      </c>
      <c r="G33" s="37"/>
      <c r="H33" s="85" t="s">
        <v>1348</v>
      </c>
      <c r="I33" s="85" t="s">
        <v>1349</v>
      </c>
      <c r="J33" s="45" t="s">
        <v>930</v>
      </c>
    </row>
    <row r="34">
      <c r="A34" s="33" t="s">
        <v>1365</v>
      </c>
      <c r="B34" s="27">
        <v>1.30301E7</v>
      </c>
      <c r="C34" s="34" t="b">
        <v>0</v>
      </c>
      <c r="D34" s="27" t="s">
        <v>96</v>
      </c>
      <c r="E34" s="37">
        <v>2.0</v>
      </c>
      <c r="F34" s="37">
        <v>100.0</v>
      </c>
      <c r="G34" s="37"/>
      <c r="H34" s="85" t="s">
        <v>1330</v>
      </c>
      <c r="I34" s="85" t="s">
        <v>1331</v>
      </c>
      <c r="J34" s="41"/>
    </row>
    <row r="35">
      <c r="A35" s="51"/>
      <c r="B35" s="52"/>
      <c r="C35" s="52"/>
      <c r="D35" s="52" t="s">
        <v>101</v>
      </c>
      <c r="E35" s="54">
        <f t="shared" ref="E35:G35" si="3">sum(E31:E34)</f>
        <v>4.5</v>
      </c>
      <c r="F35" s="54">
        <f t="shared" si="3"/>
        <v>350</v>
      </c>
      <c r="G35" s="54">
        <f t="shared" si="3"/>
        <v>0</v>
      </c>
      <c r="H35" s="54"/>
      <c r="I35" s="54"/>
      <c r="J35" s="56"/>
    </row>
    <row r="36" ht="7.5" customHeight="1">
      <c r="A36" s="23"/>
      <c r="B36" s="23"/>
      <c r="C36" s="23"/>
      <c r="D36" s="23"/>
      <c r="E36" s="25"/>
      <c r="F36" s="23"/>
      <c r="G36" s="23"/>
      <c r="H36" s="23"/>
      <c r="I36" s="25"/>
      <c r="J36" s="23"/>
    </row>
  </sheetData>
  <mergeCells count="15">
    <mergeCell ref="B6:I6"/>
    <mergeCell ref="B7:I7"/>
    <mergeCell ref="A9:I9"/>
    <mergeCell ref="A10:I10"/>
    <mergeCell ref="A19:I19"/>
    <mergeCell ref="A20:I20"/>
    <mergeCell ref="A28:I28"/>
    <mergeCell ref="A29:I29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6 D22:D25 D31:D34">
      <formula1>'Data Validation'!$A$2:$A$5</formula1>
    </dataValidation>
    <dataValidation type="list" allowBlank="1" sqref="E12:E16 E22:E25 E31:E34">
      <formula1>'Data Validation'!$B$2:$B$4</formula1>
    </dataValidation>
  </dataValidations>
  <hyperlinks>
    <hyperlink r:id="rId1" ref="J2"/>
    <hyperlink r:id="rId2" ref="J4"/>
    <hyperlink r:id="rId3" ref="J5"/>
    <hyperlink r:id="rId4" ref="A12"/>
    <hyperlink r:id="rId5" ref="A13"/>
    <hyperlink r:id="rId6" ref="A16"/>
  </hyperlinks>
  <printOptions gridLines="1" horizontalCentered="1"/>
  <pageMargins bottom="0.125" footer="0.0" header="0.0" left="0.7" right="0.7" top="0.125"/>
  <pageSetup fitToHeight="0" paperSize="5" cellComments="atEnd" orientation="landscape" pageOrder="overThenDown"/>
  <drawing r:id="rId7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28.88"/>
  </cols>
  <sheetData>
    <row r="1" ht="66.75" customHeight="1">
      <c r="A1" s="1" t="s">
        <v>1328</v>
      </c>
      <c r="J1" s="2" t="s">
        <v>1</v>
      </c>
    </row>
    <row r="2">
      <c r="A2" s="3" t="s">
        <v>2</v>
      </c>
      <c r="B2" s="5" t="s">
        <v>276</v>
      </c>
      <c r="J2" s="13" t="s">
        <v>6</v>
      </c>
    </row>
    <row r="3">
      <c r="A3" s="3" t="s">
        <v>14</v>
      </c>
      <c r="B3" s="5" t="s">
        <v>1334</v>
      </c>
    </row>
    <row r="4">
      <c r="A4" s="3" t="s">
        <v>17</v>
      </c>
      <c r="B4" s="5" t="s">
        <v>1336</v>
      </c>
      <c r="J4" s="18" t="s">
        <v>20</v>
      </c>
    </row>
    <row r="5">
      <c r="A5" s="3" t="s">
        <v>26</v>
      </c>
      <c r="B5" s="19">
        <v>1.0</v>
      </c>
      <c r="J5" s="24" t="s">
        <v>30</v>
      </c>
    </row>
    <row r="6">
      <c r="A6" s="3" t="s">
        <v>34</v>
      </c>
      <c r="B6" s="19">
        <v>5.0</v>
      </c>
    </row>
    <row r="7">
      <c r="A7" s="3" t="s">
        <v>36</v>
      </c>
      <c r="B7" s="5" t="s">
        <v>1346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78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1352</v>
      </c>
    </row>
    <row r="12">
      <c r="A12" s="27" t="s">
        <v>1353</v>
      </c>
      <c r="B12" s="27">
        <v>1.30112E7</v>
      </c>
      <c r="C12" s="27" t="b">
        <v>1</v>
      </c>
      <c r="D12" s="27" t="s">
        <v>58</v>
      </c>
      <c r="E12" s="37">
        <v>1.0</v>
      </c>
      <c r="F12" s="37">
        <v>60.0</v>
      </c>
      <c r="G12" s="37"/>
      <c r="H12" s="393" t="s">
        <v>1355</v>
      </c>
      <c r="I12" s="37" t="s">
        <v>88</v>
      </c>
      <c r="J12" s="41"/>
    </row>
    <row r="13">
      <c r="A13" s="27" t="s">
        <v>394</v>
      </c>
      <c r="B13" s="27">
        <v>1.30344E7</v>
      </c>
      <c r="C13" s="27" t="b">
        <v>1</v>
      </c>
      <c r="D13" s="27" t="s">
        <v>71</v>
      </c>
      <c r="E13" s="37">
        <v>1.0</v>
      </c>
      <c r="F13" s="37">
        <v>55.0</v>
      </c>
      <c r="G13" s="37"/>
      <c r="H13" s="393" t="s">
        <v>1355</v>
      </c>
      <c r="I13" s="37" t="s">
        <v>88</v>
      </c>
      <c r="J13" s="45" t="s">
        <v>75</v>
      </c>
    </row>
    <row r="14">
      <c r="A14" s="27" t="s">
        <v>1359</v>
      </c>
      <c r="B14" s="27" t="s">
        <v>311</v>
      </c>
      <c r="C14" s="27" t="b">
        <v>1</v>
      </c>
      <c r="D14" s="27" t="s">
        <v>82</v>
      </c>
      <c r="E14" s="37">
        <v>1.0</v>
      </c>
      <c r="F14" s="37">
        <v>50.0</v>
      </c>
      <c r="G14" s="37"/>
      <c r="H14" s="37" t="s">
        <v>1361</v>
      </c>
      <c r="I14" s="40" t="s">
        <v>1362</v>
      </c>
      <c r="J14" s="41"/>
    </row>
    <row r="15">
      <c r="A15" s="27" t="s">
        <v>1363</v>
      </c>
      <c r="B15" s="27" t="s">
        <v>429</v>
      </c>
      <c r="C15" s="27" t="b">
        <v>1</v>
      </c>
      <c r="D15" s="27" t="s">
        <v>96</v>
      </c>
      <c r="E15" s="37">
        <v>2.0</v>
      </c>
      <c r="F15" s="37">
        <v>0.0</v>
      </c>
      <c r="G15" s="37"/>
      <c r="H15" s="393" t="s">
        <v>1355</v>
      </c>
      <c r="I15" s="37" t="s">
        <v>88</v>
      </c>
      <c r="J15" s="41"/>
    </row>
    <row r="16">
      <c r="A16" s="51"/>
      <c r="B16" s="52"/>
      <c r="C16" s="52"/>
      <c r="D16" s="52" t="s">
        <v>101</v>
      </c>
      <c r="E16" s="54">
        <f t="shared" ref="E16:F16" si="1">sum(E12:E15)</f>
        <v>5</v>
      </c>
      <c r="F16" s="54">
        <f t="shared" si="1"/>
        <v>165</v>
      </c>
      <c r="G16" s="54"/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</sheetData>
  <mergeCells count="11">
    <mergeCell ref="B6:I6"/>
    <mergeCell ref="B7:I7"/>
    <mergeCell ref="A9:I9"/>
    <mergeCell ref="A10:I10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5">
      <formula1>'Data Validation'!$A$2:$A$5</formula1>
    </dataValidation>
    <dataValidation type="list" allowBlank="1" sqref="E12:E15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48.88"/>
  </cols>
  <sheetData>
    <row r="1" ht="66.75" customHeight="1">
      <c r="A1" s="1" t="s">
        <v>1371</v>
      </c>
      <c r="J1" s="2" t="s">
        <v>1</v>
      </c>
    </row>
    <row r="2">
      <c r="A2" s="3" t="s">
        <v>2</v>
      </c>
      <c r="B2" s="5" t="s">
        <v>266</v>
      </c>
      <c r="J2" s="13" t="s">
        <v>6</v>
      </c>
    </row>
    <row r="3">
      <c r="A3" s="3" t="s">
        <v>14</v>
      </c>
      <c r="B3" s="5" t="s">
        <v>1373</v>
      </c>
    </row>
    <row r="4">
      <c r="A4" s="3" t="s">
        <v>17</v>
      </c>
      <c r="B4" s="5" t="s">
        <v>485</v>
      </c>
      <c r="J4" s="18" t="s">
        <v>20</v>
      </c>
    </row>
    <row r="5">
      <c r="A5" s="3" t="s">
        <v>26</v>
      </c>
      <c r="B5" s="19">
        <v>6.0</v>
      </c>
      <c r="J5" s="24" t="s">
        <v>30</v>
      </c>
    </row>
    <row r="6">
      <c r="A6" s="3" t="s">
        <v>34</v>
      </c>
      <c r="B6" s="5"/>
    </row>
    <row r="7">
      <c r="A7" s="3" t="s">
        <v>36</v>
      </c>
      <c r="B7" s="5"/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1380</v>
      </c>
      <c r="J9" s="26"/>
    </row>
    <row r="10" ht="18.75" customHeight="1">
      <c r="A10" s="112" t="s">
        <v>194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1382</v>
      </c>
    </row>
    <row r="12">
      <c r="A12" s="69" t="s">
        <v>1383</v>
      </c>
      <c r="B12" s="69">
        <v>1.30222E7</v>
      </c>
      <c r="C12" s="297" t="b">
        <v>0</v>
      </c>
      <c r="D12" s="69" t="s">
        <v>58</v>
      </c>
      <c r="E12" s="63">
        <v>1.0</v>
      </c>
      <c r="F12" s="63">
        <v>75.0</v>
      </c>
      <c r="G12" s="299"/>
      <c r="H12" s="63" t="s">
        <v>1384</v>
      </c>
      <c r="I12" s="37"/>
      <c r="J12" s="45"/>
    </row>
    <row r="13">
      <c r="A13" s="69" t="s">
        <v>194</v>
      </c>
      <c r="B13" s="69" t="s">
        <v>201</v>
      </c>
      <c r="C13" s="297" t="b">
        <v>0</v>
      </c>
      <c r="D13" s="69" t="s">
        <v>71</v>
      </c>
      <c r="E13" s="63">
        <v>1.0</v>
      </c>
      <c r="F13" s="63">
        <v>84.0</v>
      </c>
      <c r="G13" s="299"/>
      <c r="H13" s="63" t="s">
        <v>1384</v>
      </c>
      <c r="I13" s="37"/>
      <c r="J13" s="45"/>
    </row>
    <row r="14">
      <c r="A14" s="69" t="s">
        <v>204</v>
      </c>
      <c r="B14" s="69">
        <v>1.302265E7</v>
      </c>
      <c r="C14" s="69" t="b">
        <v>1</v>
      </c>
      <c r="D14" s="69" t="s">
        <v>82</v>
      </c>
      <c r="E14" s="63">
        <v>2.0</v>
      </c>
      <c r="F14" s="63">
        <v>60.0</v>
      </c>
      <c r="G14" s="299"/>
      <c r="H14" s="100" t="s">
        <v>333</v>
      </c>
      <c r="I14" s="37"/>
      <c r="J14" s="45" t="s">
        <v>213</v>
      </c>
    </row>
    <row r="15">
      <c r="A15" s="69" t="s">
        <v>211</v>
      </c>
      <c r="B15" s="69">
        <v>1.30227E7</v>
      </c>
      <c r="C15" s="69" t="b">
        <v>1</v>
      </c>
      <c r="D15" s="69" t="s">
        <v>96</v>
      </c>
      <c r="E15" s="63">
        <v>2.0</v>
      </c>
      <c r="F15" s="63">
        <v>15.0</v>
      </c>
      <c r="G15" s="299"/>
      <c r="H15" s="100" t="s">
        <v>333</v>
      </c>
      <c r="I15" s="37"/>
      <c r="J15" s="45" t="s">
        <v>213</v>
      </c>
    </row>
    <row r="16">
      <c r="A16" s="51"/>
      <c r="B16" s="52"/>
      <c r="C16" s="52"/>
      <c r="D16" s="52" t="s">
        <v>101</v>
      </c>
      <c r="E16" s="54">
        <f t="shared" ref="E16:G16" si="1">sum(E12:E15)</f>
        <v>6</v>
      </c>
      <c r="F16" s="54">
        <f t="shared" si="1"/>
        <v>234</v>
      </c>
      <c r="G16" s="54">
        <f t="shared" si="1"/>
        <v>0</v>
      </c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26" t="s">
        <v>1389</v>
      </c>
      <c r="J18" s="26"/>
    </row>
    <row r="19" ht="18.75" customHeight="1">
      <c r="A19" s="27"/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1391</v>
      </c>
    </row>
    <row r="21">
      <c r="A21" s="27" t="s">
        <v>583</v>
      </c>
      <c r="B21" s="27">
        <v>1.30272E7</v>
      </c>
      <c r="C21" s="27" t="b">
        <v>1</v>
      </c>
      <c r="D21" s="27" t="s">
        <v>58</v>
      </c>
      <c r="E21" s="37">
        <v>1.0</v>
      </c>
      <c r="F21" s="37">
        <v>84.0</v>
      </c>
      <c r="G21" s="194">
        <v>50.0</v>
      </c>
      <c r="H21" s="37" t="s">
        <v>1392</v>
      </c>
      <c r="I21" s="37" t="s">
        <v>1393</v>
      </c>
      <c r="J21" s="45" t="s">
        <v>1394</v>
      </c>
    </row>
    <row r="22">
      <c r="A22" s="27" t="s">
        <v>601</v>
      </c>
      <c r="B22" s="27">
        <v>3580820.0</v>
      </c>
      <c r="C22" s="27" t="b">
        <v>1</v>
      </c>
      <c r="D22" s="27" t="s">
        <v>71</v>
      </c>
      <c r="E22" s="37">
        <v>1.0</v>
      </c>
      <c r="F22" s="37">
        <v>74.0</v>
      </c>
      <c r="G22" s="194">
        <v>55.0</v>
      </c>
      <c r="H22" s="37" t="s">
        <v>1395</v>
      </c>
      <c r="I22" s="37" t="s">
        <v>1393</v>
      </c>
      <c r="J22" s="45" t="s">
        <v>1396</v>
      </c>
    </row>
    <row r="23">
      <c r="A23" s="27" t="s">
        <v>868</v>
      </c>
      <c r="B23" s="27">
        <v>3581500.0</v>
      </c>
      <c r="C23" s="27" t="b">
        <v>1</v>
      </c>
      <c r="D23" s="27" t="s">
        <v>82</v>
      </c>
      <c r="E23" s="37">
        <v>1.0</v>
      </c>
      <c r="F23" s="37">
        <v>80.0</v>
      </c>
      <c r="G23" s="194">
        <v>42.0</v>
      </c>
      <c r="H23" s="37" t="s">
        <v>1392</v>
      </c>
      <c r="I23" s="37" t="s">
        <v>1393</v>
      </c>
      <c r="J23" s="45" t="s">
        <v>1220</v>
      </c>
    </row>
    <row r="24">
      <c r="A24" s="27" t="s">
        <v>1397</v>
      </c>
      <c r="B24" s="27">
        <v>3581500.0</v>
      </c>
      <c r="C24" s="27" t="b">
        <v>0</v>
      </c>
      <c r="D24" s="27" t="s">
        <v>96</v>
      </c>
      <c r="E24" s="37">
        <v>1.0</v>
      </c>
      <c r="F24" s="37">
        <v>30.0</v>
      </c>
      <c r="G24" s="194">
        <v>4.0</v>
      </c>
      <c r="H24" s="37" t="s">
        <v>1392</v>
      </c>
      <c r="I24" s="37" t="s">
        <v>1393</v>
      </c>
      <c r="J24" s="45"/>
    </row>
    <row r="25">
      <c r="A25" s="27" t="s">
        <v>1399</v>
      </c>
      <c r="B25" s="27">
        <v>1.3028E7</v>
      </c>
      <c r="C25" s="27" t="b">
        <v>1</v>
      </c>
      <c r="D25" s="27" t="s">
        <v>96</v>
      </c>
      <c r="E25" s="37">
        <v>2.0</v>
      </c>
      <c r="F25" s="37">
        <v>26.0</v>
      </c>
      <c r="G25" s="194">
        <v>7.0</v>
      </c>
      <c r="H25" s="37" t="s">
        <v>1395</v>
      </c>
      <c r="I25" s="37" t="s">
        <v>1393</v>
      </c>
      <c r="J25" s="45" t="s">
        <v>1396</v>
      </c>
    </row>
    <row r="26">
      <c r="A26" s="51"/>
      <c r="B26" s="52"/>
      <c r="C26" s="52"/>
      <c r="D26" s="52" t="s">
        <v>101</v>
      </c>
      <c r="E26" s="54">
        <f t="shared" ref="E26:F26" si="2">sum(E21:E25)</f>
        <v>6</v>
      </c>
      <c r="F26" s="54">
        <f t="shared" si="2"/>
        <v>294</v>
      </c>
      <c r="G26" s="54"/>
      <c r="H26" s="54"/>
      <c r="I26" s="54"/>
      <c r="J26" s="56"/>
    </row>
    <row r="27" ht="7.5" customHeight="1">
      <c r="A27" s="23"/>
      <c r="B27" s="23"/>
      <c r="C27" s="23"/>
      <c r="D27" s="23"/>
      <c r="E27" s="25"/>
      <c r="F27" s="23"/>
      <c r="G27" s="23"/>
      <c r="H27" s="23"/>
      <c r="I27" s="25"/>
      <c r="J27" s="23"/>
    </row>
    <row r="28" ht="18.75" customHeight="1">
      <c r="A28" s="26" t="s">
        <v>1402</v>
      </c>
      <c r="J28" s="26"/>
    </row>
    <row r="29" ht="18.75" customHeight="1">
      <c r="A29" s="27"/>
      <c r="J29" s="27"/>
    </row>
    <row r="30">
      <c r="A30" s="28" t="s">
        <v>41</v>
      </c>
      <c r="B30" s="28" t="s">
        <v>42</v>
      </c>
      <c r="C30" s="29" t="s">
        <v>43</v>
      </c>
      <c r="D30" s="28" t="s">
        <v>46</v>
      </c>
      <c r="E30" s="29" t="s">
        <v>47</v>
      </c>
      <c r="F30" s="29" t="s">
        <v>48</v>
      </c>
      <c r="G30" s="29" t="s">
        <v>49</v>
      </c>
      <c r="H30" s="29" t="s">
        <v>50</v>
      </c>
      <c r="I30" s="29" t="s">
        <v>51</v>
      </c>
      <c r="J30" s="29" t="s">
        <v>1403</v>
      </c>
    </row>
    <row r="31">
      <c r="A31" s="51"/>
      <c r="B31" s="52"/>
      <c r="C31" s="52"/>
      <c r="D31" s="52" t="s">
        <v>101</v>
      </c>
      <c r="E31" s="54" t="str">
        <f t="shared" ref="E31:F31" si="3">sum(#REF!)</f>
        <v>#REF!</v>
      </c>
      <c r="F31" s="54" t="str">
        <f t="shared" si="3"/>
        <v>#REF!</v>
      </c>
      <c r="G31" s="54"/>
      <c r="H31" s="54"/>
      <c r="I31" s="54"/>
      <c r="J31" s="56"/>
    </row>
    <row r="32">
      <c r="A32" s="23"/>
      <c r="B32" s="23"/>
      <c r="C32" s="23"/>
      <c r="D32" s="23"/>
      <c r="E32" s="25"/>
      <c r="F32" s="23"/>
      <c r="G32" s="23"/>
      <c r="H32" s="23"/>
      <c r="I32" s="25"/>
      <c r="J32" s="23"/>
    </row>
    <row r="33" ht="18.75" customHeight="1">
      <c r="A33" s="26" t="s">
        <v>1405</v>
      </c>
      <c r="J33" s="26"/>
    </row>
    <row r="34" ht="18.75" customHeight="1">
      <c r="A34" s="27"/>
      <c r="J34" s="27"/>
    </row>
    <row r="35">
      <c r="A35" s="28" t="s">
        <v>41</v>
      </c>
      <c r="B35" s="28" t="s">
        <v>42</v>
      </c>
      <c r="C35" s="29" t="s">
        <v>43</v>
      </c>
      <c r="D35" s="28" t="s">
        <v>46</v>
      </c>
      <c r="E35" s="29" t="s">
        <v>47</v>
      </c>
      <c r="F35" s="29" t="s">
        <v>48</v>
      </c>
      <c r="G35" s="29" t="s">
        <v>49</v>
      </c>
      <c r="H35" s="29" t="s">
        <v>50</v>
      </c>
      <c r="I35" s="29" t="s">
        <v>51</v>
      </c>
      <c r="J35" s="29" t="s">
        <v>1406</v>
      </c>
    </row>
    <row r="36">
      <c r="A36" s="33" t="s">
        <v>257</v>
      </c>
      <c r="B36" s="27"/>
      <c r="C36" s="34" t="b">
        <v>0</v>
      </c>
      <c r="D36" s="27" t="s">
        <v>58</v>
      </c>
      <c r="E36" s="37">
        <v>1.0</v>
      </c>
      <c r="F36" s="37"/>
      <c r="G36" s="37"/>
      <c r="H36" s="85" t="s">
        <v>1408</v>
      </c>
      <c r="I36" s="85" t="s">
        <v>1409</v>
      </c>
      <c r="J36" s="45"/>
    </row>
    <row r="37">
      <c r="A37" s="33" t="s">
        <v>120</v>
      </c>
      <c r="B37" s="27">
        <v>1.30166E7</v>
      </c>
      <c r="C37" s="34" t="b">
        <v>0</v>
      </c>
      <c r="D37" s="27" t="s">
        <v>71</v>
      </c>
      <c r="E37" s="37">
        <v>1.0</v>
      </c>
      <c r="F37" s="37">
        <v>25.0</v>
      </c>
      <c r="G37" s="37"/>
      <c r="H37" s="85" t="s">
        <v>1410</v>
      </c>
      <c r="I37" s="85" t="s">
        <v>1411</v>
      </c>
      <c r="J37" s="45" t="s">
        <v>125</v>
      </c>
    </row>
    <row r="38">
      <c r="A38" s="33" t="s">
        <v>861</v>
      </c>
      <c r="B38" s="27">
        <v>1.30122E7</v>
      </c>
      <c r="C38" s="27" t="b">
        <v>1</v>
      </c>
      <c r="D38" s="27" t="s">
        <v>96</v>
      </c>
      <c r="E38" s="37">
        <v>2.0</v>
      </c>
      <c r="F38" s="37">
        <v>84.0</v>
      </c>
      <c r="G38" s="37"/>
      <c r="H38" s="85" t="s">
        <v>1412</v>
      </c>
      <c r="I38" s="85" t="s">
        <v>1411</v>
      </c>
      <c r="J38" s="41"/>
    </row>
    <row r="39">
      <c r="A39" s="51"/>
      <c r="B39" s="52"/>
      <c r="C39" s="52"/>
      <c r="D39" s="52" t="s">
        <v>101</v>
      </c>
      <c r="E39" s="54">
        <f t="shared" ref="E39:F39" si="4">sum(E36:E38)</f>
        <v>4</v>
      </c>
      <c r="F39" s="54">
        <f t="shared" si="4"/>
        <v>109</v>
      </c>
      <c r="G39" s="54"/>
      <c r="H39" s="54"/>
      <c r="I39" s="54"/>
      <c r="J39" s="56"/>
    </row>
    <row r="40">
      <c r="A40" s="23"/>
      <c r="B40" s="23"/>
      <c r="C40" s="23"/>
      <c r="D40" s="23"/>
      <c r="E40" s="25"/>
      <c r="F40" s="23"/>
      <c r="G40" s="23"/>
      <c r="H40" s="23"/>
      <c r="I40" s="25"/>
      <c r="J40" s="23"/>
    </row>
    <row r="41">
      <c r="A41" s="26" t="s">
        <v>1413</v>
      </c>
      <c r="J41" s="26"/>
    </row>
    <row r="42">
      <c r="A42" s="27"/>
      <c r="J42" s="27"/>
    </row>
    <row r="43">
      <c r="A43" s="28" t="s">
        <v>41</v>
      </c>
      <c r="B43" s="28" t="s">
        <v>42</v>
      </c>
      <c r="C43" s="29" t="s">
        <v>43</v>
      </c>
      <c r="D43" s="28" t="s">
        <v>46</v>
      </c>
      <c r="E43" s="29" t="s">
        <v>47</v>
      </c>
      <c r="F43" s="29" t="s">
        <v>48</v>
      </c>
      <c r="G43" s="29" t="s">
        <v>49</v>
      </c>
      <c r="H43" s="29" t="s">
        <v>50</v>
      </c>
      <c r="I43" s="29" t="s">
        <v>51</v>
      </c>
      <c r="J43" s="29" t="s">
        <v>1414</v>
      </c>
    </row>
    <row r="44">
      <c r="A44" s="91" t="s">
        <v>1416</v>
      </c>
      <c r="B44" s="79">
        <v>1.30396E7</v>
      </c>
      <c r="C44" s="79" t="b">
        <v>0</v>
      </c>
      <c r="D44" s="79" t="s">
        <v>71</v>
      </c>
      <c r="E44" s="137">
        <v>2.0</v>
      </c>
      <c r="F44" s="137">
        <v>50.0</v>
      </c>
      <c r="G44" s="137"/>
      <c r="H44" s="137" t="s">
        <v>1417</v>
      </c>
      <c r="I44" s="137"/>
      <c r="J44" s="394" t="s">
        <v>90</v>
      </c>
    </row>
    <row r="45">
      <c r="A45" s="91" t="s">
        <v>1419</v>
      </c>
      <c r="B45" s="79">
        <v>1.30397E7</v>
      </c>
      <c r="C45" s="79" t="b">
        <v>1</v>
      </c>
      <c r="D45" s="79" t="s">
        <v>82</v>
      </c>
      <c r="E45" s="137">
        <v>2.0</v>
      </c>
      <c r="F45" s="137">
        <v>50.0</v>
      </c>
      <c r="G45" s="137"/>
      <c r="H45" s="137" t="s">
        <v>1417</v>
      </c>
      <c r="I45" s="137"/>
      <c r="J45" s="394" t="s">
        <v>90</v>
      </c>
    </row>
    <row r="46">
      <c r="A46" s="91" t="s">
        <v>1420</v>
      </c>
      <c r="B46" s="79">
        <v>1.3040455E7</v>
      </c>
      <c r="C46" s="79" t="b">
        <v>0</v>
      </c>
      <c r="D46" s="79" t="s">
        <v>96</v>
      </c>
      <c r="E46" s="137"/>
      <c r="F46" s="137"/>
      <c r="G46" s="137"/>
      <c r="H46" s="137" t="s">
        <v>1417</v>
      </c>
      <c r="I46" s="137"/>
      <c r="J46" s="394" t="s">
        <v>90</v>
      </c>
    </row>
    <row r="47">
      <c r="A47" s="51"/>
      <c r="B47" s="52"/>
      <c r="C47" s="52"/>
      <c r="D47" s="52" t="s">
        <v>101</v>
      </c>
      <c r="E47" s="54">
        <f t="shared" ref="E47:F47" si="5">sum(E44:E45)</f>
        <v>4</v>
      </c>
      <c r="F47" s="54">
        <f t="shared" si="5"/>
        <v>100</v>
      </c>
      <c r="G47" s="54"/>
      <c r="H47" s="54"/>
      <c r="I47" s="54"/>
      <c r="J47" s="56"/>
    </row>
  </sheetData>
  <mergeCells count="19">
    <mergeCell ref="A1:I1"/>
    <mergeCell ref="B2:I2"/>
    <mergeCell ref="J2:J3"/>
    <mergeCell ref="B3:I3"/>
    <mergeCell ref="B4:I4"/>
    <mergeCell ref="B5:I5"/>
    <mergeCell ref="J5:J6"/>
    <mergeCell ref="A29:I29"/>
    <mergeCell ref="A33:I33"/>
    <mergeCell ref="A34:I34"/>
    <mergeCell ref="A41:I41"/>
    <mergeCell ref="A42:I42"/>
    <mergeCell ref="B6:I6"/>
    <mergeCell ref="B7:I7"/>
    <mergeCell ref="A9:I9"/>
    <mergeCell ref="A10:I10"/>
    <mergeCell ref="A18:I18"/>
    <mergeCell ref="A19:I19"/>
    <mergeCell ref="A28:I28"/>
  </mergeCells>
  <dataValidations>
    <dataValidation type="list" allowBlank="1" sqref="D12:D15 D21:D25 D36:D38 D44:D46">
      <formula1>'Data Validation'!$A$2:$A$5</formula1>
    </dataValidation>
    <dataValidation type="list" allowBlank="1" sqref="E12:E15 E21:E25 E36:E38 E44:E46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25" footer="0.0" header="0.0" left="0.25" right="0.25" top="0.25"/>
  <pageSetup fitToHeight="0" paperSize="5" cellComments="atEnd" orientation="landscape" pageOrder="overThenDown"/>
  <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6" width="8.88"/>
    <col customWidth="1" min="7" max="7" width="22.63"/>
    <col customWidth="1" min="8" max="8" width="29.88"/>
    <col customWidth="1" min="9" max="9" width="28.88"/>
  </cols>
  <sheetData>
    <row r="1" ht="66.75" customHeight="1">
      <c r="A1" s="1" t="s">
        <v>1370</v>
      </c>
      <c r="I1" s="2" t="s">
        <v>1</v>
      </c>
    </row>
    <row r="2">
      <c r="A2" s="3" t="s">
        <v>2</v>
      </c>
      <c r="B2" s="5"/>
      <c r="I2" s="13" t="s">
        <v>6</v>
      </c>
    </row>
    <row r="3">
      <c r="A3" s="3" t="s">
        <v>14</v>
      </c>
      <c r="B3" s="5"/>
    </row>
    <row r="4">
      <c r="A4" s="3" t="s">
        <v>17</v>
      </c>
      <c r="B4" s="5"/>
      <c r="I4" s="18" t="s">
        <v>20</v>
      </c>
    </row>
    <row r="5">
      <c r="A5" s="3" t="s">
        <v>26</v>
      </c>
      <c r="B5" s="5"/>
      <c r="I5" s="24" t="s">
        <v>30</v>
      </c>
    </row>
    <row r="6">
      <c r="A6" s="3" t="s">
        <v>34</v>
      </c>
      <c r="B6" s="5"/>
    </row>
    <row r="7">
      <c r="A7" s="3" t="s">
        <v>36</v>
      </c>
      <c r="B7" s="5"/>
      <c r="I7" s="22"/>
    </row>
    <row r="8" ht="7.5" customHeight="1">
      <c r="A8" s="23"/>
      <c r="B8" s="23"/>
      <c r="C8" s="23"/>
      <c r="D8" s="23"/>
      <c r="E8" s="25"/>
      <c r="F8" s="23"/>
      <c r="G8" s="23"/>
      <c r="H8" s="25"/>
      <c r="I8" s="23"/>
    </row>
    <row r="9" ht="18.75" customHeight="1">
      <c r="A9" s="26" t="s">
        <v>1379</v>
      </c>
      <c r="I9" s="26"/>
    </row>
    <row r="10" ht="18.75" customHeight="1">
      <c r="A10" s="27"/>
      <c r="I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1082</v>
      </c>
      <c r="G11" s="29" t="s">
        <v>50</v>
      </c>
      <c r="H11" s="29" t="s">
        <v>51</v>
      </c>
      <c r="I11" s="29" t="s">
        <v>1381</v>
      </c>
    </row>
    <row r="12">
      <c r="A12" s="34"/>
      <c r="B12" s="27"/>
      <c r="C12" s="34" t="b">
        <v>0</v>
      </c>
      <c r="D12" s="27"/>
      <c r="E12" s="37"/>
      <c r="F12" s="37"/>
      <c r="G12" s="76"/>
      <c r="H12" s="76"/>
      <c r="I12" s="41"/>
    </row>
    <row r="13">
      <c r="A13" s="34"/>
      <c r="B13" s="34"/>
      <c r="C13" s="34" t="b">
        <v>0</v>
      </c>
      <c r="D13" s="34"/>
      <c r="E13" s="76"/>
      <c r="F13" s="76"/>
      <c r="G13" s="76"/>
      <c r="H13" s="76"/>
      <c r="I13" s="41"/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41"/>
    </row>
    <row r="17">
      <c r="A17" s="51"/>
      <c r="B17" s="52"/>
      <c r="C17" s="52"/>
      <c r="D17" s="52" t="s">
        <v>101</v>
      </c>
      <c r="E17" s="54">
        <f t="shared" ref="E17:F17" si="1">sum(E12:E16)</f>
        <v>0</v>
      </c>
      <c r="F17" s="54">
        <f t="shared" si="1"/>
        <v>0</v>
      </c>
      <c r="G17" s="54"/>
      <c r="H17" s="54"/>
      <c r="I17" s="56"/>
    </row>
    <row r="18" ht="7.5" customHeight="1">
      <c r="A18" s="23"/>
      <c r="B18" s="23"/>
      <c r="C18" s="23"/>
      <c r="D18" s="23"/>
      <c r="E18" s="25"/>
      <c r="F18" s="23"/>
      <c r="G18" s="23"/>
      <c r="H18" s="25"/>
      <c r="I18" s="23"/>
    </row>
    <row r="19" ht="18.75" customHeight="1">
      <c r="A19" s="26" t="s">
        <v>1388</v>
      </c>
      <c r="I19" s="26"/>
    </row>
    <row r="20" ht="18.75" customHeight="1">
      <c r="A20" s="27"/>
      <c r="I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1082</v>
      </c>
      <c r="G21" s="29" t="s">
        <v>50</v>
      </c>
      <c r="H21" s="29" t="s">
        <v>51</v>
      </c>
      <c r="I21" s="29" t="s">
        <v>1390</v>
      </c>
    </row>
    <row r="22">
      <c r="A22" s="34"/>
      <c r="B22" s="34"/>
      <c r="C22" s="34" t="b">
        <v>0</v>
      </c>
      <c r="D22" s="34"/>
      <c r="E22" s="76"/>
      <c r="F22" s="76"/>
      <c r="G22" s="76"/>
      <c r="H22" s="76"/>
      <c r="I22" s="41"/>
    </row>
    <row r="23">
      <c r="A23" s="34"/>
      <c r="B23" s="34"/>
      <c r="C23" s="34" t="b">
        <v>0</v>
      </c>
      <c r="D23" s="34"/>
      <c r="E23" s="76"/>
      <c r="F23" s="76"/>
      <c r="G23" s="76"/>
      <c r="H23" s="76"/>
      <c r="I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41"/>
    </row>
    <row r="27">
      <c r="A27" s="51"/>
      <c r="B27" s="52"/>
      <c r="C27" s="52"/>
      <c r="D27" s="52" t="s">
        <v>101</v>
      </c>
      <c r="E27" s="54">
        <f t="shared" ref="E27:F27" si="2">sum(E22:E26)</f>
        <v>0</v>
      </c>
      <c r="F27" s="54">
        <f t="shared" si="2"/>
        <v>0</v>
      </c>
      <c r="G27" s="54"/>
      <c r="H27" s="54"/>
      <c r="I27" s="56"/>
    </row>
    <row r="28" ht="7.5" customHeight="1">
      <c r="A28" s="23"/>
      <c r="B28" s="23"/>
      <c r="C28" s="23"/>
      <c r="D28" s="23"/>
      <c r="E28" s="25"/>
      <c r="F28" s="23"/>
      <c r="G28" s="23"/>
      <c r="H28" s="25"/>
      <c r="I28" s="23"/>
    </row>
    <row r="29" ht="18.75" customHeight="1">
      <c r="A29" s="26" t="s">
        <v>1398</v>
      </c>
      <c r="I29" s="26"/>
    </row>
    <row r="30" ht="18.75" customHeight="1">
      <c r="A30" s="27"/>
      <c r="I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1082</v>
      </c>
      <c r="G31" s="29" t="s">
        <v>50</v>
      </c>
      <c r="H31" s="29" t="s">
        <v>51</v>
      </c>
      <c r="I31" s="29" t="s">
        <v>1401</v>
      </c>
    </row>
    <row r="32">
      <c r="A32" s="34"/>
      <c r="B32" s="34"/>
      <c r="C32" s="34" t="b">
        <v>0</v>
      </c>
      <c r="D32" s="34"/>
      <c r="E32" s="76"/>
      <c r="F32" s="76"/>
      <c r="G32" s="76"/>
      <c r="H32" s="76"/>
      <c r="I32" s="41"/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41"/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41"/>
    </row>
    <row r="37">
      <c r="A37" s="51"/>
      <c r="B37" s="52"/>
      <c r="C37" s="52"/>
      <c r="D37" s="52" t="s">
        <v>101</v>
      </c>
      <c r="E37" s="54">
        <f t="shared" ref="E37:F37" si="3">sum(E32:E36)</f>
        <v>0</v>
      </c>
      <c r="F37" s="54">
        <f t="shared" si="3"/>
        <v>0</v>
      </c>
      <c r="G37" s="54"/>
      <c r="H37" s="54"/>
      <c r="I37" s="56"/>
    </row>
    <row r="38" ht="7.5" customHeight="1">
      <c r="A38" s="23"/>
      <c r="B38" s="23"/>
      <c r="C38" s="23"/>
      <c r="D38" s="23"/>
      <c r="E38" s="25"/>
      <c r="F38" s="23"/>
      <c r="G38" s="23"/>
      <c r="H38" s="25"/>
      <c r="I38" s="23"/>
    </row>
    <row r="39" ht="18.75" customHeight="1">
      <c r="A39" s="26" t="s">
        <v>1404</v>
      </c>
      <c r="I39" s="26"/>
    </row>
    <row r="40" ht="18.75" customHeight="1">
      <c r="A40" s="27"/>
      <c r="I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1082</v>
      </c>
      <c r="G41" s="29" t="s">
        <v>50</v>
      </c>
      <c r="H41" s="29" t="s">
        <v>51</v>
      </c>
      <c r="I41" s="29" t="s">
        <v>1407</v>
      </c>
    </row>
    <row r="42">
      <c r="A42" s="34"/>
      <c r="B42" s="34"/>
      <c r="C42" s="34" t="b">
        <v>0</v>
      </c>
      <c r="D42" s="34"/>
      <c r="E42" s="76"/>
      <c r="F42" s="76"/>
      <c r="G42" s="76"/>
      <c r="H42" s="76"/>
      <c r="I42" s="41"/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41"/>
    </row>
    <row r="47">
      <c r="A47" s="51"/>
      <c r="B47" s="52"/>
      <c r="C47" s="52"/>
      <c r="D47" s="52" t="s">
        <v>101</v>
      </c>
      <c r="E47" s="54">
        <f t="shared" ref="E47:F47" si="4">sum(E42:E46)</f>
        <v>0</v>
      </c>
      <c r="F47" s="54">
        <f t="shared" si="4"/>
        <v>0</v>
      </c>
      <c r="G47" s="54"/>
      <c r="H47" s="54"/>
      <c r="I47" s="56"/>
    </row>
    <row r="48" ht="7.5" customHeight="1">
      <c r="A48" s="23"/>
      <c r="B48" s="23"/>
      <c r="C48" s="23"/>
      <c r="D48" s="23"/>
      <c r="E48" s="25"/>
      <c r="F48" s="23"/>
      <c r="G48" s="23"/>
      <c r="H48" s="25"/>
      <c r="I48" s="23"/>
    </row>
    <row r="49" ht="18.75" customHeight="1">
      <c r="A49" s="26" t="s">
        <v>205</v>
      </c>
      <c r="I49" s="26"/>
    </row>
    <row r="50" ht="18.75" customHeight="1">
      <c r="A50" s="27"/>
      <c r="I50" s="27"/>
    </row>
    <row r="51">
      <c r="A51" s="28" t="s">
        <v>41</v>
      </c>
      <c r="B51" s="28" t="s">
        <v>42</v>
      </c>
      <c r="C51" s="29" t="s">
        <v>43</v>
      </c>
      <c r="D51" s="28" t="s">
        <v>46</v>
      </c>
      <c r="E51" s="29" t="s">
        <v>47</v>
      </c>
      <c r="F51" s="29" t="s">
        <v>1082</v>
      </c>
      <c r="G51" s="29" t="s">
        <v>50</v>
      </c>
      <c r="H51" s="29" t="s">
        <v>51</v>
      </c>
      <c r="I51" s="29" t="s">
        <v>1418</v>
      </c>
    </row>
    <row r="52">
      <c r="A52" s="34"/>
      <c r="B52" s="34"/>
      <c r="C52" s="34" t="b">
        <v>0</v>
      </c>
      <c r="D52" s="34"/>
      <c r="E52" s="76"/>
      <c r="F52" s="76"/>
      <c r="G52" s="76"/>
      <c r="H52" s="76"/>
      <c r="I52" s="41"/>
    </row>
    <row r="53">
      <c r="A53" s="34"/>
      <c r="B53" s="34"/>
      <c r="C53" s="34" t="b">
        <v>0</v>
      </c>
      <c r="D53" s="34"/>
      <c r="E53" s="76"/>
      <c r="F53" s="37"/>
      <c r="G53" s="37"/>
      <c r="H53" s="76"/>
      <c r="I53" s="41"/>
    </row>
    <row r="54">
      <c r="A54" s="34"/>
      <c r="B54" s="34"/>
      <c r="C54" s="34" t="b">
        <v>0</v>
      </c>
      <c r="D54" s="34"/>
      <c r="E54" s="76"/>
      <c r="F54" s="76"/>
      <c r="G54" s="76"/>
      <c r="H54" s="76"/>
      <c r="I54" s="41"/>
    </row>
    <row r="55">
      <c r="A55" s="34"/>
      <c r="B55" s="34"/>
      <c r="C55" s="34" t="b">
        <v>0</v>
      </c>
      <c r="D55" s="34"/>
      <c r="E55" s="76"/>
      <c r="F55" s="37"/>
      <c r="G55" s="37"/>
      <c r="H55" s="76"/>
      <c r="I55" s="41"/>
    </row>
    <row r="56">
      <c r="A56" s="34"/>
      <c r="B56" s="34"/>
      <c r="C56" s="34" t="b">
        <v>0</v>
      </c>
      <c r="D56" s="34"/>
      <c r="E56" s="76"/>
      <c r="F56" s="76"/>
      <c r="G56" s="76"/>
      <c r="H56" s="76"/>
      <c r="I56" s="41"/>
    </row>
    <row r="57">
      <c r="A57" s="51"/>
      <c r="B57" s="52"/>
      <c r="C57" s="52"/>
      <c r="D57" s="52" t="s">
        <v>101</v>
      </c>
      <c r="E57" s="54">
        <f t="shared" ref="E57:F57" si="5">sum(E52:E56)</f>
        <v>0</v>
      </c>
      <c r="F57" s="54">
        <f t="shared" si="5"/>
        <v>0</v>
      </c>
      <c r="G57" s="54"/>
      <c r="H57" s="54"/>
      <c r="I57" s="56"/>
    </row>
  </sheetData>
  <mergeCells count="19">
    <mergeCell ref="A1:H1"/>
    <mergeCell ref="B2:H2"/>
    <mergeCell ref="I2:I3"/>
    <mergeCell ref="B3:H3"/>
    <mergeCell ref="B4:H4"/>
    <mergeCell ref="B5:H5"/>
    <mergeCell ref="I5:I6"/>
    <mergeCell ref="A30:H30"/>
    <mergeCell ref="A39:H39"/>
    <mergeCell ref="A40:H40"/>
    <mergeCell ref="A49:H49"/>
    <mergeCell ref="A50:H50"/>
    <mergeCell ref="B6:H6"/>
    <mergeCell ref="B7:H7"/>
    <mergeCell ref="A9:H9"/>
    <mergeCell ref="A10:H10"/>
    <mergeCell ref="A19:H19"/>
    <mergeCell ref="A20:H20"/>
    <mergeCell ref="A29:H29"/>
  </mergeCells>
  <dataValidations>
    <dataValidation type="list" allowBlank="1" sqref="D12:D16 D22:D26 D32:D36 D42:D46 D52:D56">
      <formula1>'Data Validation'!$A$2:$A$5</formula1>
    </dataValidation>
    <dataValidation type="list" allowBlank="1" sqref="E12:E16 E22:E26 E32:E36 E42:E46 E52:E56">
      <formula1>'Data Validation'!$B$2:$B$4</formula1>
    </dataValidation>
  </dataValidations>
  <hyperlinks>
    <hyperlink r:id="rId1" ref="I2"/>
    <hyperlink r:id="rId2" ref="I4"/>
    <hyperlink r:id="rId3" ref="I5"/>
  </hyperlinks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6" width="8.88"/>
    <col customWidth="1" min="7" max="7" width="22.63"/>
    <col customWidth="1" min="8" max="8" width="29.88"/>
    <col customWidth="1" min="9" max="9" width="28.88"/>
  </cols>
  <sheetData>
    <row r="1" ht="66.75" customHeight="1">
      <c r="A1" s="1" t="s">
        <v>1400</v>
      </c>
      <c r="I1" s="2" t="s">
        <v>1</v>
      </c>
    </row>
    <row r="2">
      <c r="A2" s="3" t="s">
        <v>2</v>
      </c>
      <c r="B2" s="5" t="s">
        <v>249</v>
      </c>
      <c r="I2" s="13" t="s">
        <v>6</v>
      </c>
    </row>
    <row r="3">
      <c r="A3" s="3" t="s">
        <v>14</v>
      </c>
      <c r="B3" s="5"/>
    </row>
    <row r="4">
      <c r="A4" s="3" t="s">
        <v>17</v>
      </c>
      <c r="B4" s="5"/>
      <c r="I4" s="18" t="s">
        <v>20</v>
      </c>
    </row>
    <row r="5">
      <c r="A5" s="3" t="s">
        <v>26</v>
      </c>
      <c r="B5" s="5"/>
      <c r="I5" s="24" t="s">
        <v>30</v>
      </c>
    </row>
    <row r="6">
      <c r="A6" s="3" t="s">
        <v>34</v>
      </c>
      <c r="B6" s="5"/>
    </row>
    <row r="7">
      <c r="A7" s="3" t="s">
        <v>36</v>
      </c>
      <c r="B7" s="5"/>
      <c r="I7" s="22"/>
    </row>
    <row r="8" ht="7.5" customHeight="1">
      <c r="A8" s="23"/>
      <c r="B8" s="23"/>
      <c r="C8" s="23"/>
      <c r="D8" s="23"/>
      <c r="E8" s="25"/>
      <c r="F8" s="23"/>
      <c r="G8" s="23"/>
      <c r="H8" s="25"/>
      <c r="I8" s="23"/>
    </row>
    <row r="9" ht="18.75" customHeight="1">
      <c r="A9" s="26" t="s">
        <v>1379</v>
      </c>
      <c r="I9" s="26"/>
    </row>
    <row r="10" ht="18.75" customHeight="1">
      <c r="A10" s="27"/>
      <c r="I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1082</v>
      </c>
      <c r="G11" s="29" t="s">
        <v>50</v>
      </c>
      <c r="H11" s="29" t="s">
        <v>51</v>
      </c>
      <c r="I11" s="29" t="s">
        <v>1415</v>
      </c>
    </row>
    <row r="12">
      <c r="A12" s="34"/>
      <c r="B12" s="27"/>
      <c r="C12" s="34" t="b">
        <v>0</v>
      </c>
      <c r="D12" s="27"/>
      <c r="E12" s="37"/>
      <c r="F12" s="37"/>
      <c r="G12" s="76"/>
      <c r="H12" s="76"/>
      <c r="I12" s="41"/>
    </row>
    <row r="13">
      <c r="A13" s="34"/>
      <c r="B13" s="34"/>
      <c r="C13" s="34" t="b">
        <v>0</v>
      </c>
      <c r="D13" s="34"/>
      <c r="E13" s="76"/>
      <c r="F13" s="76"/>
      <c r="G13" s="76"/>
      <c r="H13" s="76"/>
      <c r="I13" s="41"/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41"/>
    </row>
    <row r="17">
      <c r="A17" s="51"/>
      <c r="B17" s="52"/>
      <c r="C17" s="52"/>
      <c r="D17" s="52" t="s">
        <v>101</v>
      </c>
      <c r="E17" s="54">
        <f t="shared" ref="E17:F17" si="1">sum(E12:E16)</f>
        <v>0</v>
      </c>
      <c r="F17" s="54">
        <f t="shared" si="1"/>
        <v>0</v>
      </c>
      <c r="G17" s="54"/>
      <c r="H17" s="54"/>
      <c r="I17" s="56"/>
    </row>
    <row r="18" ht="7.5" customHeight="1">
      <c r="A18" s="23"/>
      <c r="B18" s="23"/>
      <c r="C18" s="23"/>
      <c r="D18" s="23"/>
      <c r="E18" s="25"/>
      <c r="F18" s="23"/>
      <c r="G18" s="23"/>
      <c r="H18" s="25"/>
      <c r="I18" s="23"/>
    </row>
    <row r="19" ht="18.75" customHeight="1">
      <c r="A19" s="26" t="s">
        <v>1388</v>
      </c>
      <c r="I19" s="26"/>
    </row>
    <row r="20" ht="18.75" customHeight="1">
      <c r="A20" s="27"/>
      <c r="I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1082</v>
      </c>
      <c r="G21" s="29" t="s">
        <v>50</v>
      </c>
      <c r="H21" s="29" t="s">
        <v>51</v>
      </c>
      <c r="I21" s="29" t="s">
        <v>1421</v>
      </c>
    </row>
    <row r="22">
      <c r="A22" s="34"/>
      <c r="B22" s="34"/>
      <c r="C22" s="34" t="b">
        <v>0</v>
      </c>
      <c r="D22" s="34"/>
      <c r="E22" s="76"/>
      <c r="F22" s="76"/>
      <c r="G22" s="76"/>
      <c r="H22" s="76"/>
      <c r="I22" s="41"/>
    </row>
    <row r="23">
      <c r="A23" s="34"/>
      <c r="B23" s="34"/>
      <c r="C23" s="34" t="b">
        <v>0</v>
      </c>
      <c r="D23" s="34"/>
      <c r="E23" s="76"/>
      <c r="F23" s="76"/>
      <c r="G23" s="76"/>
      <c r="H23" s="76"/>
      <c r="I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41"/>
    </row>
    <row r="27">
      <c r="A27" s="51"/>
      <c r="B27" s="52"/>
      <c r="C27" s="52"/>
      <c r="D27" s="52" t="s">
        <v>101</v>
      </c>
      <c r="E27" s="54">
        <f t="shared" ref="E27:F27" si="2">sum(E22:E26)</f>
        <v>0</v>
      </c>
      <c r="F27" s="54">
        <f t="shared" si="2"/>
        <v>0</v>
      </c>
      <c r="G27" s="54"/>
      <c r="H27" s="54"/>
      <c r="I27" s="56"/>
    </row>
    <row r="28" ht="7.5" customHeight="1">
      <c r="A28" s="23"/>
      <c r="B28" s="23"/>
      <c r="C28" s="23"/>
      <c r="D28" s="23"/>
      <c r="E28" s="25"/>
      <c r="F28" s="23"/>
      <c r="G28" s="23"/>
      <c r="H28" s="25"/>
      <c r="I28" s="23"/>
    </row>
    <row r="29" ht="18.75" customHeight="1">
      <c r="A29" s="26" t="s">
        <v>1398</v>
      </c>
      <c r="I29" s="26"/>
    </row>
    <row r="30" ht="18.75" customHeight="1">
      <c r="A30" s="27"/>
      <c r="I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1082</v>
      </c>
      <c r="G31" s="29" t="s">
        <v>50</v>
      </c>
      <c r="H31" s="29" t="s">
        <v>51</v>
      </c>
      <c r="I31" s="29" t="s">
        <v>1426</v>
      </c>
    </row>
    <row r="32">
      <c r="A32" s="34"/>
      <c r="B32" s="34"/>
      <c r="C32" s="34" t="b">
        <v>0</v>
      </c>
      <c r="D32" s="34"/>
      <c r="E32" s="76"/>
      <c r="F32" s="76"/>
      <c r="G32" s="76"/>
      <c r="H32" s="76"/>
      <c r="I32" s="41"/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41"/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41"/>
    </row>
    <row r="37">
      <c r="A37" s="51"/>
      <c r="B37" s="52"/>
      <c r="C37" s="52"/>
      <c r="D37" s="52" t="s">
        <v>101</v>
      </c>
      <c r="E37" s="54">
        <f t="shared" ref="E37:F37" si="3">sum(E32:E36)</f>
        <v>0</v>
      </c>
      <c r="F37" s="54">
        <f t="shared" si="3"/>
        <v>0</v>
      </c>
      <c r="G37" s="54"/>
      <c r="H37" s="54"/>
      <c r="I37" s="56"/>
    </row>
    <row r="38" ht="7.5" customHeight="1">
      <c r="A38" s="23"/>
      <c r="B38" s="23"/>
      <c r="C38" s="23"/>
      <c r="D38" s="23"/>
      <c r="E38" s="25"/>
      <c r="F38" s="23"/>
      <c r="G38" s="23"/>
      <c r="H38" s="25"/>
      <c r="I38" s="23"/>
    </row>
    <row r="39" ht="18.75" customHeight="1">
      <c r="A39" s="26" t="s">
        <v>1404</v>
      </c>
      <c r="I39" s="26"/>
    </row>
    <row r="40" ht="18.75" customHeight="1">
      <c r="A40" s="27"/>
      <c r="I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1082</v>
      </c>
      <c r="G41" s="29" t="s">
        <v>50</v>
      </c>
      <c r="H41" s="29" t="s">
        <v>51</v>
      </c>
      <c r="I41" s="29" t="s">
        <v>1434</v>
      </c>
    </row>
    <row r="42">
      <c r="A42" s="34"/>
      <c r="B42" s="34"/>
      <c r="C42" s="34" t="b">
        <v>0</v>
      </c>
      <c r="D42" s="34"/>
      <c r="E42" s="76"/>
      <c r="F42" s="76"/>
      <c r="G42" s="76"/>
      <c r="H42" s="76"/>
      <c r="I42" s="41"/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41"/>
    </row>
    <row r="47">
      <c r="A47" s="51"/>
      <c r="B47" s="52"/>
      <c r="C47" s="52"/>
      <c r="D47" s="52" t="s">
        <v>101</v>
      </c>
      <c r="E47" s="54">
        <f t="shared" ref="E47:F47" si="4">sum(E42:E46)</f>
        <v>0</v>
      </c>
      <c r="F47" s="54">
        <f t="shared" si="4"/>
        <v>0</v>
      </c>
      <c r="G47" s="54"/>
      <c r="H47" s="54"/>
      <c r="I47" s="56"/>
    </row>
    <row r="48" ht="7.5" customHeight="1">
      <c r="A48" s="23"/>
      <c r="B48" s="23"/>
      <c r="C48" s="23"/>
      <c r="D48" s="23"/>
      <c r="E48" s="25"/>
      <c r="F48" s="23"/>
      <c r="G48" s="23"/>
      <c r="H48" s="25"/>
      <c r="I48" s="23"/>
    </row>
    <row r="49" ht="18.75" customHeight="1">
      <c r="A49" s="26" t="s">
        <v>205</v>
      </c>
      <c r="I49" s="26"/>
    </row>
    <row r="50" ht="18.75" customHeight="1">
      <c r="A50" s="27"/>
      <c r="I50" s="27"/>
    </row>
    <row r="51">
      <c r="A51" s="28" t="s">
        <v>41</v>
      </c>
      <c r="B51" s="28" t="s">
        <v>42</v>
      </c>
      <c r="C51" s="29" t="s">
        <v>43</v>
      </c>
      <c r="D51" s="28" t="s">
        <v>46</v>
      </c>
      <c r="E51" s="29" t="s">
        <v>47</v>
      </c>
      <c r="F51" s="29" t="s">
        <v>1082</v>
      </c>
      <c r="G51" s="29" t="s">
        <v>50</v>
      </c>
      <c r="H51" s="29" t="s">
        <v>51</v>
      </c>
      <c r="I51" s="29" t="s">
        <v>1443</v>
      </c>
    </row>
    <row r="52">
      <c r="A52" s="34"/>
      <c r="B52" s="34"/>
      <c r="C52" s="34" t="b">
        <v>0</v>
      </c>
      <c r="D52" s="34"/>
      <c r="E52" s="76"/>
      <c r="F52" s="76"/>
      <c r="G52" s="76"/>
      <c r="H52" s="76"/>
      <c r="I52" s="41"/>
    </row>
    <row r="53">
      <c r="A53" s="34"/>
      <c r="B53" s="34"/>
      <c r="C53" s="34" t="b">
        <v>0</v>
      </c>
      <c r="D53" s="34"/>
      <c r="E53" s="76"/>
      <c r="F53" s="37"/>
      <c r="G53" s="37"/>
      <c r="H53" s="76"/>
      <c r="I53" s="41"/>
    </row>
    <row r="54">
      <c r="A54" s="34"/>
      <c r="B54" s="34"/>
      <c r="C54" s="34" t="b">
        <v>0</v>
      </c>
      <c r="D54" s="34"/>
      <c r="E54" s="76"/>
      <c r="F54" s="76"/>
      <c r="G54" s="76"/>
      <c r="H54" s="76"/>
      <c r="I54" s="41"/>
    </row>
    <row r="55">
      <c r="A55" s="34"/>
      <c r="B55" s="34"/>
      <c r="C55" s="34" t="b">
        <v>0</v>
      </c>
      <c r="D55" s="34"/>
      <c r="E55" s="76"/>
      <c r="F55" s="37"/>
      <c r="G55" s="37"/>
      <c r="H55" s="76"/>
      <c r="I55" s="41"/>
    </row>
    <row r="56">
      <c r="A56" s="34"/>
      <c r="B56" s="34"/>
      <c r="C56" s="34" t="b">
        <v>0</v>
      </c>
      <c r="D56" s="34"/>
      <c r="E56" s="76"/>
      <c r="F56" s="76"/>
      <c r="G56" s="76"/>
      <c r="H56" s="76"/>
      <c r="I56" s="41"/>
    </row>
    <row r="57">
      <c r="A57" s="51"/>
      <c r="B57" s="52"/>
      <c r="C57" s="52"/>
      <c r="D57" s="52" t="s">
        <v>101</v>
      </c>
      <c r="E57" s="54">
        <f t="shared" ref="E57:F57" si="5">sum(E52:E56)</f>
        <v>0</v>
      </c>
      <c r="F57" s="54">
        <f t="shared" si="5"/>
        <v>0</v>
      </c>
      <c r="G57" s="54"/>
      <c r="H57" s="54"/>
      <c r="I57" s="56"/>
    </row>
  </sheetData>
  <mergeCells count="19">
    <mergeCell ref="A1:H1"/>
    <mergeCell ref="B2:H2"/>
    <mergeCell ref="I2:I3"/>
    <mergeCell ref="B3:H3"/>
    <mergeCell ref="B4:H4"/>
    <mergeCell ref="B5:H5"/>
    <mergeCell ref="I5:I6"/>
    <mergeCell ref="A30:H30"/>
    <mergeCell ref="A39:H39"/>
    <mergeCell ref="A40:H40"/>
    <mergeCell ref="A49:H49"/>
    <mergeCell ref="A50:H50"/>
    <mergeCell ref="B6:H6"/>
    <mergeCell ref="B7:H7"/>
    <mergeCell ref="A9:H9"/>
    <mergeCell ref="A10:H10"/>
    <mergeCell ref="A19:H19"/>
    <mergeCell ref="A20:H20"/>
    <mergeCell ref="A29:H29"/>
  </mergeCells>
  <dataValidations>
    <dataValidation type="list" allowBlank="1" sqref="D12:D16 D22:D26 D32:D36 D42:D46 D52:D56">
      <formula1>'Data Validation'!$A$2:$A$5</formula1>
    </dataValidation>
    <dataValidation type="list" allowBlank="1" sqref="E12:E16 E22:E26 E32:E36 E42:E46 E52:E56">
      <formula1>'Data Validation'!$B$2:$B$4</formula1>
    </dataValidation>
  </dataValidations>
  <hyperlinks>
    <hyperlink r:id="rId1" ref="I2"/>
    <hyperlink r:id="rId2" ref="I4"/>
    <hyperlink r:id="rId3" ref="I5"/>
  </hyperlinks>
  <drawing r:id="rId4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6" width="8.88"/>
    <col customWidth="1" min="7" max="7" width="22.63"/>
    <col customWidth="1" min="8" max="8" width="29.88"/>
    <col customWidth="1" min="9" max="9" width="28.88"/>
  </cols>
  <sheetData>
    <row r="1" ht="66.75" customHeight="1">
      <c r="A1" s="1" t="s">
        <v>1423</v>
      </c>
      <c r="I1" s="2" t="s">
        <v>1</v>
      </c>
    </row>
    <row r="2">
      <c r="A2" s="3" t="s">
        <v>2</v>
      </c>
      <c r="B2" s="5" t="s">
        <v>252</v>
      </c>
      <c r="I2" s="13" t="s">
        <v>6</v>
      </c>
    </row>
    <row r="3">
      <c r="A3" s="3" t="s">
        <v>14</v>
      </c>
      <c r="B3" s="5"/>
    </row>
    <row r="4">
      <c r="A4" s="3" t="s">
        <v>17</v>
      </c>
      <c r="B4" s="5"/>
      <c r="I4" s="18" t="s">
        <v>20</v>
      </c>
    </row>
    <row r="5">
      <c r="A5" s="3" t="s">
        <v>26</v>
      </c>
      <c r="B5" s="5"/>
      <c r="I5" s="24" t="s">
        <v>30</v>
      </c>
    </row>
    <row r="6">
      <c r="A6" s="3" t="s">
        <v>34</v>
      </c>
      <c r="B6" s="5"/>
    </row>
    <row r="7">
      <c r="A7" s="3" t="s">
        <v>36</v>
      </c>
      <c r="B7" s="5"/>
      <c r="I7" s="22"/>
    </row>
    <row r="8" ht="7.5" customHeight="1">
      <c r="A8" s="23"/>
      <c r="B8" s="23"/>
      <c r="C8" s="23"/>
      <c r="D8" s="23"/>
      <c r="E8" s="25"/>
      <c r="F8" s="23"/>
      <c r="G8" s="23"/>
      <c r="H8" s="25"/>
      <c r="I8" s="23"/>
    </row>
    <row r="9" ht="18.75" customHeight="1">
      <c r="A9" s="26" t="s">
        <v>1379</v>
      </c>
      <c r="I9" s="26"/>
    </row>
    <row r="10" ht="18.75" customHeight="1">
      <c r="A10" s="27"/>
      <c r="I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1082</v>
      </c>
      <c r="G11" s="29" t="s">
        <v>50</v>
      </c>
      <c r="H11" s="29" t="s">
        <v>51</v>
      </c>
      <c r="I11" s="29" t="s">
        <v>1431</v>
      </c>
    </row>
    <row r="12">
      <c r="A12" s="34"/>
      <c r="B12" s="27"/>
      <c r="C12" s="34" t="b">
        <v>0</v>
      </c>
      <c r="D12" s="27"/>
      <c r="E12" s="37"/>
      <c r="F12" s="37"/>
      <c r="G12" s="76"/>
      <c r="H12" s="76"/>
      <c r="I12" s="41"/>
    </row>
    <row r="13">
      <c r="A13" s="34"/>
      <c r="B13" s="34"/>
      <c r="C13" s="34" t="b">
        <v>0</v>
      </c>
      <c r="D13" s="34"/>
      <c r="E13" s="76"/>
      <c r="F13" s="76"/>
      <c r="G13" s="76"/>
      <c r="H13" s="76"/>
      <c r="I13" s="41"/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41"/>
    </row>
    <row r="17">
      <c r="A17" s="51"/>
      <c r="B17" s="52"/>
      <c r="C17" s="52"/>
      <c r="D17" s="52" t="s">
        <v>101</v>
      </c>
      <c r="E17" s="54">
        <f t="shared" ref="E17:F17" si="1">sum(E12:E16)</f>
        <v>0</v>
      </c>
      <c r="F17" s="54">
        <f t="shared" si="1"/>
        <v>0</v>
      </c>
      <c r="G17" s="54"/>
      <c r="H17" s="54"/>
      <c r="I17" s="56"/>
    </row>
    <row r="18" ht="7.5" customHeight="1">
      <c r="A18" s="23"/>
      <c r="B18" s="23"/>
      <c r="C18" s="23"/>
      <c r="D18" s="23"/>
      <c r="E18" s="25"/>
      <c r="F18" s="23"/>
      <c r="G18" s="23"/>
      <c r="H18" s="25"/>
      <c r="I18" s="23"/>
    </row>
    <row r="19" ht="18.75" customHeight="1">
      <c r="A19" s="26" t="s">
        <v>1388</v>
      </c>
      <c r="I19" s="26"/>
    </row>
    <row r="20" ht="18.75" customHeight="1">
      <c r="A20" s="27"/>
      <c r="I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1082</v>
      </c>
      <c r="G21" s="29" t="s">
        <v>50</v>
      </c>
      <c r="H21" s="29" t="s">
        <v>51</v>
      </c>
      <c r="I21" s="29" t="s">
        <v>1442</v>
      </c>
    </row>
    <row r="22">
      <c r="A22" s="34"/>
      <c r="B22" s="34"/>
      <c r="C22" s="34" t="b">
        <v>0</v>
      </c>
      <c r="D22" s="34"/>
      <c r="E22" s="76"/>
      <c r="F22" s="76"/>
      <c r="G22" s="76"/>
      <c r="H22" s="76"/>
      <c r="I22" s="41"/>
    </row>
    <row r="23">
      <c r="A23" s="34"/>
      <c r="B23" s="34"/>
      <c r="C23" s="34" t="b">
        <v>0</v>
      </c>
      <c r="D23" s="34"/>
      <c r="E23" s="76"/>
      <c r="F23" s="76"/>
      <c r="G23" s="76"/>
      <c r="H23" s="76"/>
      <c r="I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41"/>
    </row>
    <row r="27">
      <c r="A27" s="51"/>
      <c r="B27" s="52"/>
      <c r="C27" s="52"/>
      <c r="D27" s="52" t="s">
        <v>101</v>
      </c>
      <c r="E27" s="54">
        <f t="shared" ref="E27:F27" si="2">sum(E22:E26)</f>
        <v>0</v>
      </c>
      <c r="F27" s="54">
        <f t="shared" si="2"/>
        <v>0</v>
      </c>
      <c r="G27" s="54"/>
      <c r="H27" s="54"/>
      <c r="I27" s="56"/>
    </row>
    <row r="28" ht="7.5" customHeight="1">
      <c r="A28" s="23"/>
      <c r="B28" s="23"/>
      <c r="C28" s="23"/>
      <c r="D28" s="23"/>
      <c r="E28" s="25"/>
      <c r="F28" s="23"/>
      <c r="G28" s="23"/>
      <c r="H28" s="25"/>
      <c r="I28" s="23"/>
    </row>
    <row r="29" ht="18.75" customHeight="1">
      <c r="A29" s="26" t="s">
        <v>1398</v>
      </c>
      <c r="I29" s="26"/>
    </row>
    <row r="30" ht="18.75" customHeight="1">
      <c r="A30" s="27"/>
      <c r="I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1082</v>
      </c>
      <c r="G31" s="29" t="s">
        <v>50</v>
      </c>
      <c r="H31" s="29" t="s">
        <v>51</v>
      </c>
      <c r="I31" s="29" t="s">
        <v>1445</v>
      </c>
    </row>
    <row r="32">
      <c r="A32" s="34"/>
      <c r="B32" s="34"/>
      <c r="C32" s="34" t="b">
        <v>0</v>
      </c>
      <c r="D32" s="34"/>
      <c r="E32" s="76"/>
      <c r="F32" s="76"/>
      <c r="G32" s="76"/>
      <c r="H32" s="76"/>
      <c r="I32" s="41"/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41"/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41"/>
    </row>
    <row r="37">
      <c r="A37" s="51"/>
      <c r="B37" s="52"/>
      <c r="C37" s="52"/>
      <c r="D37" s="52" t="s">
        <v>101</v>
      </c>
      <c r="E37" s="54">
        <f t="shared" ref="E37:F37" si="3">sum(E32:E36)</f>
        <v>0</v>
      </c>
      <c r="F37" s="54">
        <f t="shared" si="3"/>
        <v>0</v>
      </c>
      <c r="G37" s="54"/>
      <c r="H37" s="54"/>
      <c r="I37" s="56"/>
    </row>
    <row r="38" ht="7.5" customHeight="1">
      <c r="A38" s="23"/>
      <c r="B38" s="23"/>
      <c r="C38" s="23"/>
      <c r="D38" s="23"/>
      <c r="E38" s="25"/>
      <c r="F38" s="23"/>
      <c r="G38" s="23"/>
      <c r="H38" s="25"/>
      <c r="I38" s="23"/>
    </row>
    <row r="39" ht="18.75" customHeight="1">
      <c r="A39" s="26" t="s">
        <v>1404</v>
      </c>
      <c r="I39" s="26"/>
    </row>
    <row r="40" ht="18.75" customHeight="1">
      <c r="A40" s="27"/>
      <c r="I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1082</v>
      </c>
      <c r="G41" s="29" t="s">
        <v>50</v>
      </c>
      <c r="H41" s="29" t="s">
        <v>51</v>
      </c>
      <c r="I41" s="29" t="s">
        <v>1447</v>
      </c>
    </row>
    <row r="42">
      <c r="A42" s="34"/>
      <c r="B42" s="34"/>
      <c r="C42" s="34" t="b">
        <v>0</v>
      </c>
      <c r="D42" s="34"/>
      <c r="E42" s="76"/>
      <c r="F42" s="76"/>
      <c r="G42" s="76"/>
      <c r="H42" s="76"/>
      <c r="I42" s="41"/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41"/>
    </row>
    <row r="47">
      <c r="A47" s="51"/>
      <c r="B47" s="52"/>
      <c r="C47" s="52"/>
      <c r="D47" s="52" t="s">
        <v>101</v>
      </c>
      <c r="E47" s="54">
        <f t="shared" ref="E47:F47" si="4">sum(E42:E46)</f>
        <v>0</v>
      </c>
      <c r="F47" s="54">
        <f t="shared" si="4"/>
        <v>0</v>
      </c>
      <c r="G47" s="54"/>
      <c r="H47" s="54"/>
      <c r="I47" s="56"/>
    </row>
    <row r="48" ht="7.5" customHeight="1">
      <c r="A48" s="23"/>
      <c r="B48" s="23"/>
      <c r="C48" s="23"/>
      <c r="D48" s="23"/>
      <c r="E48" s="25"/>
      <c r="F48" s="23"/>
      <c r="G48" s="23"/>
      <c r="H48" s="25"/>
      <c r="I48" s="23"/>
    </row>
    <row r="49" ht="18.75" customHeight="1">
      <c r="A49" s="26" t="s">
        <v>205</v>
      </c>
      <c r="I49" s="26"/>
    </row>
    <row r="50" ht="18.75" customHeight="1">
      <c r="A50" s="27"/>
      <c r="I50" s="27"/>
    </row>
    <row r="51">
      <c r="A51" s="28" t="s">
        <v>41</v>
      </c>
      <c r="B51" s="28" t="s">
        <v>42</v>
      </c>
      <c r="C51" s="29" t="s">
        <v>43</v>
      </c>
      <c r="D51" s="28" t="s">
        <v>46</v>
      </c>
      <c r="E51" s="29" t="s">
        <v>47</v>
      </c>
      <c r="F51" s="29" t="s">
        <v>1082</v>
      </c>
      <c r="G51" s="29" t="s">
        <v>50</v>
      </c>
      <c r="H51" s="29" t="s">
        <v>51</v>
      </c>
      <c r="I51" s="29" t="s">
        <v>1459</v>
      </c>
    </row>
    <row r="52">
      <c r="A52" s="34"/>
      <c r="B52" s="34"/>
      <c r="C52" s="34" t="b">
        <v>0</v>
      </c>
      <c r="D52" s="34"/>
      <c r="E52" s="76"/>
      <c r="F52" s="76"/>
      <c r="G52" s="76"/>
      <c r="H52" s="76"/>
      <c r="I52" s="41"/>
    </row>
    <row r="53">
      <c r="A53" s="34"/>
      <c r="B53" s="34"/>
      <c r="C53" s="34" t="b">
        <v>0</v>
      </c>
      <c r="D53" s="34"/>
      <c r="E53" s="76"/>
      <c r="F53" s="37"/>
      <c r="G53" s="37"/>
      <c r="H53" s="76"/>
      <c r="I53" s="41"/>
    </row>
    <row r="54">
      <c r="A54" s="34"/>
      <c r="B54" s="34"/>
      <c r="C54" s="34" t="b">
        <v>0</v>
      </c>
      <c r="D54" s="34"/>
      <c r="E54" s="76"/>
      <c r="F54" s="76"/>
      <c r="G54" s="76"/>
      <c r="H54" s="76"/>
      <c r="I54" s="41"/>
    </row>
    <row r="55">
      <c r="A55" s="34"/>
      <c r="B55" s="34"/>
      <c r="C55" s="34" t="b">
        <v>0</v>
      </c>
      <c r="D55" s="34"/>
      <c r="E55" s="76"/>
      <c r="F55" s="37"/>
      <c r="G55" s="37"/>
      <c r="H55" s="76"/>
      <c r="I55" s="41"/>
    </row>
    <row r="56">
      <c r="A56" s="34"/>
      <c r="B56" s="34"/>
      <c r="C56" s="34" t="b">
        <v>0</v>
      </c>
      <c r="D56" s="34"/>
      <c r="E56" s="76"/>
      <c r="F56" s="76"/>
      <c r="G56" s="76"/>
      <c r="H56" s="76"/>
      <c r="I56" s="41"/>
    </row>
    <row r="57">
      <c r="A57" s="51"/>
      <c r="B57" s="52"/>
      <c r="C57" s="52"/>
      <c r="D57" s="52" t="s">
        <v>101</v>
      </c>
      <c r="E57" s="54">
        <f t="shared" ref="E57:F57" si="5">sum(E52:E56)</f>
        <v>0</v>
      </c>
      <c r="F57" s="54">
        <f t="shared" si="5"/>
        <v>0</v>
      </c>
      <c r="G57" s="54"/>
      <c r="H57" s="54"/>
      <c r="I57" s="56"/>
    </row>
  </sheetData>
  <mergeCells count="19">
    <mergeCell ref="A1:H1"/>
    <mergeCell ref="B2:H2"/>
    <mergeCell ref="I2:I3"/>
    <mergeCell ref="B3:H3"/>
    <mergeCell ref="B4:H4"/>
    <mergeCell ref="B5:H5"/>
    <mergeCell ref="I5:I6"/>
    <mergeCell ref="A30:H30"/>
    <mergeCell ref="A39:H39"/>
    <mergeCell ref="A40:H40"/>
    <mergeCell ref="A49:H49"/>
    <mergeCell ref="A50:H50"/>
    <mergeCell ref="B6:H6"/>
    <mergeCell ref="B7:H7"/>
    <mergeCell ref="A9:H9"/>
    <mergeCell ref="A10:H10"/>
    <mergeCell ref="A19:H19"/>
    <mergeCell ref="A20:H20"/>
    <mergeCell ref="A29:H29"/>
  </mergeCells>
  <dataValidations>
    <dataValidation type="list" allowBlank="1" sqref="D12:D16 D22:D26 D32:D36 D42:D46 D52:D56">
      <formula1>'Data Validation'!$A$2:$A$5</formula1>
    </dataValidation>
    <dataValidation type="list" allowBlank="1" sqref="E12:E16 E22:E26 E32:E36 E42:E46 E52:E56">
      <formula1>'Data Validation'!$B$2:$B$4</formula1>
    </dataValidation>
  </dataValidations>
  <hyperlinks>
    <hyperlink r:id="rId1" ref="I2"/>
    <hyperlink r:id="rId2" ref="I4"/>
    <hyperlink r:id="rId3" ref="I5"/>
  </hyperlinks>
  <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8.75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29.88"/>
    <col customWidth="1" min="10" max="10" width="40.0"/>
  </cols>
  <sheetData>
    <row r="1" ht="66.75" customHeight="1">
      <c r="A1" s="1" t="s">
        <v>1422</v>
      </c>
      <c r="J1" s="2" t="s">
        <v>1</v>
      </c>
    </row>
    <row r="2">
      <c r="A2" s="3" t="s">
        <v>2</v>
      </c>
      <c r="B2" s="5" t="s">
        <v>1424</v>
      </c>
      <c r="J2" s="13" t="s">
        <v>6</v>
      </c>
    </row>
    <row r="3">
      <c r="A3" s="3" t="s">
        <v>14</v>
      </c>
      <c r="B3" s="217" t="s">
        <v>1425</v>
      </c>
    </row>
    <row r="4">
      <c r="A4" s="3" t="s">
        <v>17</v>
      </c>
      <c r="B4" s="5" t="s">
        <v>612</v>
      </c>
      <c r="J4" s="18" t="s">
        <v>20</v>
      </c>
    </row>
    <row r="5">
      <c r="A5" s="3" t="s">
        <v>26</v>
      </c>
      <c r="B5" s="217" t="s">
        <v>1425</v>
      </c>
      <c r="J5" s="24" t="s">
        <v>30</v>
      </c>
    </row>
    <row r="6">
      <c r="A6" s="3" t="s">
        <v>34</v>
      </c>
      <c r="B6" s="5">
        <v>5.0</v>
      </c>
    </row>
    <row r="7">
      <c r="A7" s="3" t="s">
        <v>36</v>
      </c>
      <c r="B7" s="5" t="s">
        <v>1427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38</v>
      </c>
      <c r="J9" s="26"/>
    </row>
    <row r="10" ht="18.75" customHeight="1">
      <c r="A10" s="27" t="s">
        <v>1428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1429</v>
      </c>
    </row>
    <row r="12">
      <c r="A12" s="27" t="s">
        <v>1430</v>
      </c>
      <c r="B12" s="106"/>
      <c r="C12" s="27" t="b">
        <v>1</v>
      </c>
      <c r="D12" s="27"/>
      <c r="E12" s="37"/>
      <c r="F12" s="37"/>
      <c r="G12" s="194">
        <v>21.0</v>
      </c>
      <c r="H12" s="37" t="s">
        <v>1432</v>
      </c>
      <c r="I12" s="395" t="s">
        <v>1433</v>
      </c>
      <c r="J12" s="42"/>
    </row>
    <row r="13">
      <c r="A13" s="396" t="s">
        <v>1264</v>
      </c>
      <c r="B13" s="397">
        <v>3580140.0</v>
      </c>
      <c r="C13" s="398" t="b">
        <v>1</v>
      </c>
      <c r="D13" s="398" t="s">
        <v>58</v>
      </c>
      <c r="E13" s="399">
        <v>1.0</v>
      </c>
      <c r="F13" s="399">
        <v>30.0</v>
      </c>
      <c r="G13" s="400">
        <v>41.0</v>
      </c>
      <c r="H13" s="399" t="s">
        <v>1435</v>
      </c>
      <c r="I13" s="401" t="s">
        <v>1436</v>
      </c>
      <c r="J13" s="394" t="s">
        <v>1437</v>
      </c>
    </row>
    <row r="14">
      <c r="A14" s="402" t="s">
        <v>1232</v>
      </c>
      <c r="B14" s="106" t="s">
        <v>651</v>
      </c>
      <c r="C14" s="27" t="b">
        <v>1</v>
      </c>
      <c r="D14" s="27" t="s">
        <v>71</v>
      </c>
      <c r="E14" s="37">
        <v>1.0</v>
      </c>
      <c r="F14" s="37">
        <v>30.0</v>
      </c>
      <c r="G14" s="194">
        <v>31.0</v>
      </c>
      <c r="H14" s="37" t="s">
        <v>1435</v>
      </c>
      <c r="I14" s="395" t="s">
        <v>1393</v>
      </c>
      <c r="J14" s="45" t="s">
        <v>642</v>
      </c>
    </row>
    <row r="15">
      <c r="A15" s="27" t="s">
        <v>1438</v>
      </c>
      <c r="B15" s="106">
        <v>3580380.0</v>
      </c>
      <c r="C15" s="27" t="b">
        <v>1</v>
      </c>
      <c r="D15" s="27" t="s">
        <v>71</v>
      </c>
      <c r="E15" s="37">
        <v>1.0</v>
      </c>
      <c r="F15" s="37">
        <v>30.0</v>
      </c>
      <c r="G15" s="332" t="s">
        <v>941</v>
      </c>
      <c r="H15" s="37" t="s">
        <v>1432</v>
      </c>
      <c r="I15" s="395" t="s">
        <v>1393</v>
      </c>
      <c r="J15" s="47" t="s">
        <v>1185</v>
      </c>
    </row>
    <row r="16">
      <c r="A16" s="27" t="s">
        <v>1439</v>
      </c>
      <c r="B16" s="106">
        <v>3580390.0</v>
      </c>
      <c r="C16" s="27" t="b">
        <v>1</v>
      </c>
      <c r="D16" s="27" t="s">
        <v>82</v>
      </c>
      <c r="E16" s="37">
        <v>1.0</v>
      </c>
      <c r="F16" s="37">
        <v>30.0</v>
      </c>
      <c r="G16" s="194">
        <v>43.0</v>
      </c>
      <c r="H16" s="37" t="s">
        <v>1435</v>
      </c>
      <c r="I16" s="395" t="s">
        <v>1393</v>
      </c>
      <c r="J16" s="42" t="s">
        <v>1440</v>
      </c>
    </row>
    <row r="17">
      <c r="A17" s="27" t="s">
        <v>1183</v>
      </c>
      <c r="B17" s="106">
        <v>1.3028E7</v>
      </c>
      <c r="C17" s="27" t="b">
        <v>1</v>
      </c>
      <c r="D17" s="27" t="s">
        <v>96</v>
      </c>
      <c r="E17" s="37">
        <v>2.0</v>
      </c>
      <c r="F17" s="37">
        <v>100.0</v>
      </c>
      <c r="G17" s="332" t="s">
        <v>1441</v>
      </c>
      <c r="H17" s="37"/>
      <c r="I17" s="395" t="s">
        <v>1393</v>
      </c>
      <c r="J17" s="41"/>
    </row>
    <row r="18">
      <c r="A18" s="51"/>
      <c r="B18" s="52"/>
      <c r="C18" s="52"/>
      <c r="D18" s="52" t="s">
        <v>101</v>
      </c>
      <c r="E18" s="54">
        <f t="shared" ref="E18:G18" si="1">sum(E13:E17)</f>
        <v>6</v>
      </c>
      <c r="F18" s="403">
        <f t="shared" si="1"/>
        <v>220</v>
      </c>
      <c r="G18" s="403">
        <f t="shared" si="1"/>
        <v>115</v>
      </c>
      <c r="H18" s="54"/>
      <c r="I18" s="54"/>
      <c r="J18" s="56"/>
    </row>
    <row r="19" ht="7.5" customHeight="1">
      <c r="A19" s="23"/>
      <c r="B19" s="23"/>
      <c r="C19" s="23"/>
      <c r="D19" s="23"/>
      <c r="E19" s="25"/>
      <c r="F19" s="23"/>
      <c r="G19" s="23"/>
      <c r="H19" s="23"/>
      <c r="I19" s="25"/>
      <c r="J19" s="23"/>
    </row>
  </sheetData>
  <mergeCells count="11">
    <mergeCell ref="B6:I6"/>
    <mergeCell ref="B7:I7"/>
    <mergeCell ref="A9:I9"/>
    <mergeCell ref="A10:I10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7">
      <formula1>'Data Validation'!$A$2:$A$5</formula1>
    </dataValidation>
    <dataValidation type="list" allowBlank="1" sqref="E12:E17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37.0"/>
    <col customWidth="1" min="10" max="10" width="32.5"/>
  </cols>
  <sheetData>
    <row r="1" ht="66.75" customHeight="1">
      <c r="A1" s="1" t="s">
        <v>1444</v>
      </c>
      <c r="J1" s="2" t="s">
        <v>1</v>
      </c>
    </row>
    <row r="2">
      <c r="A2" s="3" t="s">
        <v>2</v>
      </c>
      <c r="B2" s="5" t="s">
        <v>278</v>
      </c>
      <c r="J2" s="13" t="s">
        <v>6</v>
      </c>
    </row>
    <row r="3">
      <c r="A3" s="3" t="s">
        <v>14</v>
      </c>
      <c r="B3" s="5" t="s">
        <v>1334</v>
      </c>
    </row>
    <row r="4">
      <c r="A4" s="3" t="s">
        <v>17</v>
      </c>
      <c r="B4" s="5" t="s">
        <v>1336</v>
      </c>
      <c r="J4" s="18" t="s">
        <v>20</v>
      </c>
    </row>
    <row r="5">
      <c r="A5" s="3" t="s">
        <v>26</v>
      </c>
      <c r="B5" s="19">
        <v>2.0</v>
      </c>
      <c r="J5" s="24" t="s">
        <v>30</v>
      </c>
    </row>
    <row r="6">
      <c r="A6" s="3" t="s">
        <v>34</v>
      </c>
      <c r="B6" s="5" t="s">
        <v>1448</v>
      </c>
    </row>
    <row r="7">
      <c r="A7" s="3" t="s">
        <v>36</v>
      </c>
      <c r="B7" s="281" t="s">
        <v>1449</v>
      </c>
      <c r="J7" s="22"/>
    </row>
    <row r="8" ht="7.5" customHeight="1">
      <c r="A8" s="23"/>
      <c r="B8" s="23"/>
      <c r="C8" s="23"/>
      <c r="D8" s="23"/>
      <c r="E8" s="25"/>
      <c r="F8" s="23"/>
      <c r="G8" s="23"/>
      <c r="H8" s="23"/>
      <c r="I8" s="25"/>
      <c r="J8" s="23"/>
    </row>
    <row r="9" ht="18.75" customHeight="1">
      <c r="A9" s="26" t="s">
        <v>1451</v>
      </c>
      <c r="J9" s="26"/>
    </row>
    <row r="10" ht="18.75" customHeight="1">
      <c r="A10" s="27" t="s">
        <v>1452</v>
      </c>
      <c r="J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1453</v>
      </c>
    </row>
    <row r="12">
      <c r="A12" s="33" t="s">
        <v>959</v>
      </c>
      <c r="B12" s="27">
        <v>1.300421E7</v>
      </c>
      <c r="C12" s="27" t="b">
        <v>1</v>
      </c>
      <c r="D12" s="27" t="s">
        <v>58</v>
      </c>
      <c r="E12" s="37">
        <v>1.0</v>
      </c>
      <c r="F12" s="37">
        <v>0.0</v>
      </c>
      <c r="G12" s="37"/>
      <c r="H12" s="37" t="s">
        <v>1455</v>
      </c>
      <c r="I12" s="37" t="s">
        <v>1456</v>
      </c>
      <c r="J12" s="303" t="s">
        <v>1020</v>
      </c>
    </row>
    <row r="13">
      <c r="A13" s="33" t="s">
        <v>1457</v>
      </c>
      <c r="B13" s="27">
        <v>1.30046E7</v>
      </c>
      <c r="C13" s="27" t="b">
        <v>1</v>
      </c>
      <c r="D13" s="27" t="s">
        <v>71</v>
      </c>
      <c r="E13" s="37">
        <v>1.0</v>
      </c>
      <c r="F13" s="37">
        <v>50.0</v>
      </c>
      <c r="G13" s="37"/>
      <c r="H13" s="37" t="s">
        <v>1455</v>
      </c>
      <c r="I13" s="37" t="s">
        <v>1456</v>
      </c>
      <c r="J13" s="303" t="s">
        <v>1020</v>
      </c>
    </row>
    <row r="14">
      <c r="A14" s="33" t="s">
        <v>1458</v>
      </c>
      <c r="B14" s="27">
        <v>1.30047E7</v>
      </c>
      <c r="C14" s="27" t="b">
        <v>1</v>
      </c>
      <c r="D14" s="27" t="s">
        <v>82</v>
      </c>
      <c r="E14" s="37">
        <v>2.0</v>
      </c>
      <c r="F14" s="37">
        <v>50.0</v>
      </c>
      <c r="G14" s="37"/>
      <c r="H14" s="37" t="s">
        <v>1455</v>
      </c>
      <c r="I14" s="37" t="s">
        <v>1456</v>
      </c>
      <c r="J14" s="303" t="s">
        <v>1020</v>
      </c>
    </row>
    <row r="15">
      <c r="A15" s="33" t="s">
        <v>1460</v>
      </c>
      <c r="B15" s="27">
        <v>1.30048E7</v>
      </c>
      <c r="C15" s="27" t="b">
        <v>1</v>
      </c>
      <c r="D15" s="27" t="s">
        <v>96</v>
      </c>
      <c r="E15" s="37">
        <v>2.0</v>
      </c>
      <c r="F15" s="37">
        <v>25.0</v>
      </c>
      <c r="G15" s="37"/>
      <c r="H15" s="37" t="s">
        <v>1455</v>
      </c>
      <c r="I15" s="37" t="s">
        <v>1456</v>
      </c>
      <c r="J15" s="222" t="s">
        <v>639</v>
      </c>
    </row>
    <row r="16">
      <c r="A16" s="51"/>
      <c r="B16" s="52"/>
      <c r="C16" s="52"/>
      <c r="D16" s="52" t="s">
        <v>101</v>
      </c>
      <c r="E16" s="54">
        <f t="shared" ref="E16:F16" si="1">sum(E12:E15)</f>
        <v>6</v>
      </c>
      <c r="F16" s="54">
        <f t="shared" si="1"/>
        <v>125</v>
      </c>
      <c r="G16" s="54"/>
      <c r="H16" s="54"/>
      <c r="I16" s="54"/>
      <c r="J16" s="56"/>
    </row>
    <row r="17" ht="7.5" customHeight="1">
      <c r="A17" s="23"/>
      <c r="B17" s="23"/>
      <c r="C17" s="23"/>
      <c r="D17" s="23"/>
      <c r="E17" s="25"/>
      <c r="F17" s="23"/>
      <c r="G17" s="23"/>
      <c r="H17" s="23"/>
      <c r="I17" s="25"/>
      <c r="J17" s="23"/>
    </row>
    <row r="18" ht="18.75" customHeight="1">
      <c r="A18" s="26" t="s">
        <v>1462</v>
      </c>
      <c r="J18" s="26"/>
    </row>
    <row r="19" ht="18.75" customHeight="1">
      <c r="A19" s="27"/>
      <c r="J19" s="2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1463</v>
      </c>
    </row>
    <row r="21">
      <c r="A21" s="33" t="s">
        <v>1464</v>
      </c>
      <c r="B21" s="27">
        <v>1.30002E7</v>
      </c>
      <c r="C21" s="27" t="b">
        <v>1</v>
      </c>
      <c r="D21" s="27" t="s">
        <v>58</v>
      </c>
      <c r="E21" s="37">
        <v>1.0</v>
      </c>
      <c r="F21" s="37">
        <v>25.0</v>
      </c>
      <c r="G21" s="37"/>
      <c r="H21" s="37" t="s">
        <v>1465</v>
      </c>
      <c r="I21" s="37" t="s">
        <v>1466</v>
      </c>
      <c r="J21" s="41"/>
    </row>
    <row r="22">
      <c r="A22" s="33" t="s">
        <v>1467</v>
      </c>
      <c r="B22" s="27">
        <v>1.30011E7</v>
      </c>
      <c r="C22" s="27" t="b">
        <v>1</v>
      </c>
      <c r="D22" s="27" t="s">
        <v>82</v>
      </c>
      <c r="E22" s="37">
        <v>1.0</v>
      </c>
      <c r="F22" s="37">
        <v>25.0</v>
      </c>
      <c r="G22" s="37"/>
      <c r="H22" s="37" t="s">
        <v>1465</v>
      </c>
      <c r="I22" s="37" t="s">
        <v>1466</v>
      </c>
      <c r="J22" s="41"/>
    </row>
    <row r="23">
      <c r="A23" s="33" t="s">
        <v>1468</v>
      </c>
      <c r="B23" s="27">
        <v>1.30012E7</v>
      </c>
      <c r="C23" s="27" t="b">
        <v>1</v>
      </c>
      <c r="D23" s="27" t="s">
        <v>96</v>
      </c>
      <c r="E23" s="37">
        <v>2.0</v>
      </c>
      <c r="F23" s="37">
        <v>25.0</v>
      </c>
      <c r="G23" s="37"/>
      <c r="H23" s="37" t="s">
        <v>1465</v>
      </c>
      <c r="I23" s="37" t="s">
        <v>1466</v>
      </c>
      <c r="J23" s="45" t="s">
        <v>1470</v>
      </c>
    </row>
    <row r="24">
      <c r="A24" s="33" t="s">
        <v>1471</v>
      </c>
      <c r="B24" s="27">
        <v>1.30025E7</v>
      </c>
      <c r="C24" s="27" t="b">
        <v>1</v>
      </c>
      <c r="D24" s="27" t="s">
        <v>96</v>
      </c>
      <c r="E24" s="37">
        <v>2.0</v>
      </c>
      <c r="F24" s="37">
        <v>25.0</v>
      </c>
      <c r="G24" s="37"/>
      <c r="H24" s="37" t="s">
        <v>1465</v>
      </c>
      <c r="I24" s="37" t="s">
        <v>1466</v>
      </c>
      <c r="J24" s="45" t="s">
        <v>1473</v>
      </c>
    </row>
    <row r="25">
      <c r="A25" s="51"/>
      <c r="B25" s="52"/>
      <c r="C25" s="52"/>
      <c r="D25" s="52" t="s">
        <v>101</v>
      </c>
      <c r="E25" s="54">
        <f t="shared" ref="E25:F25" si="2">sum(E21:E24)</f>
        <v>6</v>
      </c>
      <c r="F25" s="54">
        <f t="shared" si="2"/>
        <v>100</v>
      </c>
      <c r="G25" s="54"/>
      <c r="H25" s="54"/>
      <c r="I25" s="54"/>
      <c r="J25" s="56"/>
    </row>
    <row r="26" ht="7.5" customHeight="1">
      <c r="A26" s="23"/>
      <c r="B26" s="23"/>
      <c r="C26" s="23"/>
      <c r="D26" s="23"/>
      <c r="E26" s="25"/>
      <c r="F26" s="23"/>
      <c r="G26" s="23"/>
      <c r="H26" s="23"/>
      <c r="I26" s="25"/>
      <c r="J26" s="23"/>
    </row>
  </sheetData>
  <mergeCells count="13">
    <mergeCell ref="B6:I6"/>
    <mergeCell ref="B7:I7"/>
    <mergeCell ref="A9:I9"/>
    <mergeCell ref="A10:I10"/>
    <mergeCell ref="A18:I18"/>
    <mergeCell ref="A19:I19"/>
    <mergeCell ref="A1:I1"/>
    <mergeCell ref="B2:I2"/>
    <mergeCell ref="J2:J3"/>
    <mergeCell ref="B3:I3"/>
    <mergeCell ref="B4:I4"/>
    <mergeCell ref="B5:I5"/>
    <mergeCell ref="J5:J6"/>
  </mergeCells>
  <dataValidations>
    <dataValidation type="list" allowBlank="1" sqref="D12:D15 D21:D24">
      <formula1>'Data Validation'!$A$2:$A$5</formula1>
    </dataValidation>
    <dataValidation type="list" allowBlank="1" sqref="E12:E15 E21:E24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6" width="8.88"/>
    <col customWidth="1" min="7" max="7" width="22.63"/>
    <col customWidth="1" min="8" max="8" width="29.88"/>
    <col customWidth="1" min="9" max="9" width="28.88"/>
  </cols>
  <sheetData>
    <row r="1" ht="66.75" customHeight="1">
      <c r="A1" s="1" t="s">
        <v>1446</v>
      </c>
      <c r="I1" s="2" t="s">
        <v>1</v>
      </c>
    </row>
    <row r="2">
      <c r="A2" s="3" t="s">
        <v>2</v>
      </c>
      <c r="B2" s="5" t="s">
        <v>282</v>
      </c>
      <c r="I2" s="13" t="s">
        <v>6</v>
      </c>
    </row>
    <row r="3">
      <c r="A3" s="3" t="s">
        <v>14</v>
      </c>
      <c r="B3" s="5" t="s">
        <v>1450</v>
      </c>
    </row>
    <row r="4">
      <c r="A4" s="3" t="s">
        <v>17</v>
      </c>
      <c r="B4" s="5" t="s">
        <v>1336</v>
      </c>
      <c r="I4" s="18" t="s">
        <v>20</v>
      </c>
    </row>
    <row r="5">
      <c r="A5" s="3" t="s">
        <v>26</v>
      </c>
      <c r="B5" s="5" t="s">
        <v>1454</v>
      </c>
      <c r="I5" s="24" t="s">
        <v>30</v>
      </c>
    </row>
    <row r="6">
      <c r="A6" s="3" t="s">
        <v>34</v>
      </c>
      <c r="B6" s="5" t="s">
        <v>1454</v>
      </c>
    </row>
    <row r="7">
      <c r="A7" s="3" t="s">
        <v>36</v>
      </c>
      <c r="B7" s="5" t="s">
        <v>1454</v>
      </c>
      <c r="I7" s="22"/>
    </row>
    <row r="8" ht="7.5" customHeight="1">
      <c r="A8" s="23"/>
      <c r="B8" s="23"/>
      <c r="C8" s="23"/>
      <c r="D8" s="23"/>
      <c r="E8" s="25"/>
      <c r="F8" s="23"/>
      <c r="G8" s="23"/>
      <c r="H8" s="25"/>
      <c r="I8" s="23"/>
    </row>
    <row r="9" ht="18.75" customHeight="1">
      <c r="A9" s="26" t="s">
        <v>38</v>
      </c>
      <c r="I9" s="26"/>
    </row>
    <row r="10" ht="18.75" customHeight="1">
      <c r="A10" s="27"/>
      <c r="I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1082</v>
      </c>
      <c r="G11" s="29" t="s">
        <v>50</v>
      </c>
      <c r="H11" s="29" t="s">
        <v>51</v>
      </c>
      <c r="I11" s="29" t="s">
        <v>1461</v>
      </c>
    </row>
    <row r="12">
      <c r="A12" s="34"/>
      <c r="B12" s="27"/>
      <c r="C12" s="34" t="b">
        <v>0</v>
      </c>
      <c r="D12" s="27"/>
      <c r="E12" s="37"/>
      <c r="F12" s="37"/>
      <c r="G12" s="76"/>
      <c r="H12" s="76"/>
      <c r="I12" s="41"/>
    </row>
    <row r="13">
      <c r="A13" s="34"/>
      <c r="B13" s="34"/>
      <c r="C13" s="34" t="b">
        <v>0</v>
      </c>
      <c r="D13" s="34"/>
      <c r="E13" s="76"/>
      <c r="F13" s="76"/>
      <c r="G13" s="76"/>
      <c r="H13" s="76"/>
      <c r="I13" s="41"/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41"/>
    </row>
    <row r="17">
      <c r="A17" s="51"/>
      <c r="B17" s="52"/>
      <c r="C17" s="52"/>
      <c r="D17" s="52" t="s">
        <v>101</v>
      </c>
      <c r="E17" s="54">
        <f t="shared" ref="E17:F17" si="1">sum(E12:E16)</f>
        <v>0</v>
      </c>
      <c r="F17" s="54">
        <f t="shared" si="1"/>
        <v>0</v>
      </c>
      <c r="G17" s="54"/>
      <c r="H17" s="54"/>
      <c r="I17" s="56"/>
    </row>
    <row r="18" ht="7.5" customHeight="1">
      <c r="A18" s="23"/>
      <c r="B18" s="23"/>
      <c r="C18" s="23"/>
      <c r="D18" s="23"/>
      <c r="E18" s="25"/>
      <c r="F18" s="23"/>
      <c r="G18" s="23"/>
      <c r="H18" s="25"/>
      <c r="I18" s="23"/>
    </row>
    <row r="19" ht="18.75" customHeight="1">
      <c r="A19" s="26" t="s">
        <v>135</v>
      </c>
      <c r="I19" s="26"/>
    </row>
    <row r="20" ht="18.75" customHeight="1">
      <c r="A20" s="27"/>
      <c r="I20" s="27"/>
    </row>
    <row r="21">
      <c r="A21" s="28" t="s">
        <v>41</v>
      </c>
      <c r="B21" s="28" t="s">
        <v>42</v>
      </c>
      <c r="C21" s="29" t="s">
        <v>43</v>
      </c>
      <c r="D21" s="28" t="s">
        <v>46</v>
      </c>
      <c r="E21" s="29" t="s">
        <v>47</v>
      </c>
      <c r="F21" s="29" t="s">
        <v>1082</v>
      </c>
      <c r="G21" s="29" t="s">
        <v>50</v>
      </c>
      <c r="H21" s="29" t="s">
        <v>51</v>
      </c>
      <c r="I21" s="29" t="s">
        <v>1469</v>
      </c>
    </row>
    <row r="22">
      <c r="A22" s="34"/>
      <c r="B22" s="34"/>
      <c r="C22" s="34" t="b">
        <v>0</v>
      </c>
      <c r="D22" s="34"/>
      <c r="E22" s="76"/>
      <c r="F22" s="76"/>
      <c r="G22" s="76"/>
      <c r="H22" s="76"/>
      <c r="I22" s="41"/>
    </row>
    <row r="23">
      <c r="A23" s="34"/>
      <c r="B23" s="34"/>
      <c r="C23" s="34" t="b">
        <v>0</v>
      </c>
      <c r="D23" s="34"/>
      <c r="E23" s="76"/>
      <c r="F23" s="76"/>
      <c r="G23" s="76"/>
      <c r="H23" s="76"/>
      <c r="I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41"/>
    </row>
    <row r="27">
      <c r="A27" s="51"/>
      <c r="B27" s="52"/>
      <c r="C27" s="52"/>
      <c r="D27" s="52" t="s">
        <v>101</v>
      </c>
      <c r="E27" s="54">
        <f t="shared" ref="E27:F27" si="2">sum(E22:E26)</f>
        <v>0</v>
      </c>
      <c r="F27" s="54">
        <f t="shared" si="2"/>
        <v>0</v>
      </c>
      <c r="G27" s="54"/>
      <c r="H27" s="54"/>
      <c r="I27" s="56"/>
    </row>
    <row r="28" ht="7.5" customHeight="1">
      <c r="A28" s="23"/>
      <c r="B28" s="23"/>
      <c r="C28" s="23"/>
      <c r="D28" s="23"/>
      <c r="E28" s="25"/>
      <c r="F28" s="23"/>
      <c r="G28" s="23"/>
      <c r="H28" s="25"/>
      <c r="I28" s="23"/>
    </row>
    <row r="29" ht="18.75" customHeight="1">
      <c r="A29" s="26" t="s">
        <v>111</v>
      </c>
      <c r="I29" s="26"/>
    </row>
    <row r="30" ht="18.75" customHeight="1">
      <c r="A30" s="27"/>
      <c r="I30" s="27"/>
    </row>
    <row r="31">
      <c r="A31" s="28" t="s">
        <v>41</v>
      </c>
      <c r="B31" s="28" t="s">
        <v>42</v>
      </c>
      <c r="C31" s="29" t="s">
        <v>43</v>
      </c>
      <c r="D31" s="28" t="s">
        <v>46</v>
      </c>
      <c r="E31" s="29" t="s">
        <v>47</v>
      </c>
      <c r="F31" s="29" t="s">
        <v>1082</v>
      </c>
      <c r="G31" s="29" t="s">
        <v>50</v>
      </c>
      <c r="H31" s="29" t="s">
        <v>51</v>
      </c>
      <c r="I31" s="29" t="s">
        <v>1477</v>
      </c>
    </row>
    <row r="32">
      <c r="A32" s="34"/>
      <c r="B32" s="34"/>
      <c r="C32" s="34" t="b">
        <v>0</v>
      </c>
      <c r="D32" s="34"/>
      <c r="E32" s="76"/>
      <c r="F32" s="76"/>
      <c r="G32" s="76"/>
      <c r="H32" s="76"/>
      <c r="I32" s="41"/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41"/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41"/>
    </row>
    <row r="37">
      <c r="A37" s="51"/>
      <c r="B37" s="52"/>
      <c r="C37" s="52"/>
      <c r="D37" s="52" t="s">
        <v>101</v>
      </c>
      <c r="E37" s="54">
        <f t="shared" ref="E37:F37" si="3">sum(E32:E36)</f>
        <v>0</v>
      </c>
      <c r="F37" s="54">
        <f t="shared" si="3"/>
        <v>0</v>
      </c>
      <c r="G37" s="54"/>
      <c r="H37" s="54"/>
      <c r="I37" s="56"/>
    </row>
    <row r="38" ht="7.5" customHeight="1">
      <c r="A38" s="23"/>
      <c r="B38" s="23"/>
      <c r="C38" s="23"/>
      <c r="D38" s="23"/>
      <c r="E38" s="25"/>
      <c r="F38" s="23"/>
      <c r="G38" s="23"/>
      <c r="H38" s="25"/>
      <c r="I38" s="23"/>
    </row>
    <row r="39" ht="18.75" customHeight="1">
      <c r="A39" s="26" t="s">
        <v>169</v>
      </c>
      <c r="I39" s="26"/>
    </row>
    <row r="40" ht="18.75" customHeight="1">
      <c r="A40" s="27"/>
      <c r="I40" s="27"/>
    </row>
    <row r="41">
      <c r="A41" s="28" t="s">
        <v>41</v>
      </c>
      <c r="B41" s="28" t="s">
        <v>42</v>
      </c>
      <c r="C41" s="29" t="s">
        <v>43</v>
      </c>
      <c r="D41" s="28" t="s">
        <v>46</v>
      </c>
      <c r="E41" s="29" t="s">
        <v>47</v>
      </c>
      <c r="F41" s="29" t="s">
        <v>1082</v>
      </c>
      <c r="G41" s="29" t="s">
        <v>50</v>
      </c>
      <c r="H41" s="29" t="s">
        <v>51</v>
      </c>
      <c r="I41" s="29" t="s">
        <v>1488</v>
      </c>
    </row>
    <row r="42">
      <c r="A42" s="34"/>
      <c r="B42" s="34"/>
      <c r="C42" s="34" t="b">
        <v>0</v>
      </c>
      <c r="D42" s="34"/>
      <c r="E42" s="76"/>
      <c r="F42" s="76"/>
      <c r="G42" s="76"/>
      <c r="H42" s="76"/>
      <c r="I42" s="41"/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41"/>
    </row>
    <row r="47">
      <c r="A47" s="51"/>
      <c r="B47" s="52"/>
      <c r="C47" s="52"/>
      <c r="D47" s="52" t="s">
        <v>101</v>
      </c>
      <c r="E47" s="54">
        <f t="shared" ref="E47:F47" si="4">sum(E42:E46)</f>
        <v>0</v>
      </c>
      <c r="F47" s="54">
        <f t="shared" si="4"/>
        <v>0</v>
      </c>
      <c r="G47" s="54"/>
      <c r="H47" s="54"/>
      <c r="I47" s="56"/>
    </row>
    <row r="48" ht="7.5" customHeight="1">
      <c r="A48" s="23"/>
      <c r="B48" s="23"/>
      <c r="C48" s="23"/>
      <c r="D48" s="23"/>
      <c r="E48" s="25"/>
      <c r="F48" s="23"/>
      <c r="G48" s="23"/>
      <c r="H48" s="25"/>
      <c r="I48" s="23"/>
    </row>
    <row r="49" ht="18.75" customHeight="1">
      <c r="A49" s="26" t="s">
        <v>205</v>
      </c>
      <c r="I49" s="26"/>
    </row>
    <row r="50" ht="18.75" customHeight="1">
      <c r="A50" s="27"/>
      <c r="I50" s="27"/>
    </row>
    <row r="51">
      <c r="A51" s="28" t="s">
        <v>41</v>
      </c>
      <c r="B51" s="28" t="s">
        <v>42</v>
      </c>
      <c r="C51" s="29" t="s">
        <v>43</v>
      </c>
      <c r="D51" s="28" t="s">
        <v>46</v>
      </c>
      <c r="E51" s="29" t="s">
        <v>47</v>
      </c>
      <c r="F51" s="29" t="s">
        <v>1082</v>
      </c>
      <c r="G51" s="29" t="s">
        <v>50</v>
      </c>
      <c r="H51" s="29" t="s">
        <v>51</v>
      </c>
      <c r="I51" s="29" t="s">
        <v>1500</v>
      </c>
    </row>
    <row r="52">
      <c r="A52" s="34"/>
      <c r="B52" s="34"/>
      <c r="C52" s="34" t="b">
        <v>0</v>
      </c>
      <c r="D52" s="34"/>
      <c r="E52" s="76"/>
      <c r="F52" s="76"/>
      <c r="G52" s="76"/>
      <c r="H52" s="76"/>
      <c r="I52" s="41"/>
    </row>
    <row r="53">
      <c r="A53" s="34"/>
      <c r="B53" s="34"/>
      <c r="C53" s="34" t="b">
        <v>0</v>
      </c>
      <c r="D53" s="34"/>
      <c r="E53" s="76"/>
      <c r="F53" s="37"/>
      <c r="G53" s="37"/>
      <c r="H53" s="76"/>
      <c r="I53" s="41"/>
    </row>
    <row r="54">
      <c r="A54" s="34"/>
      <c r="B54" s="34"/>
      <c r="C54" s="34" t="b">
        <v>0</v>
      </c>
      <c r="D54" s="34"/>
      <c r="E54" s="76"/>
      <c r="F54" s="76"/>
      <c r="G54" s="76"/>
      <c r="H54" s="76"/>
      <c r="I54" s="41"/>
    </row>
    <row r="55">
      <c r="A55" s="34"/>
      <c r="B55" s="34"/>
      <c r="C55" s="34" t="b">
        <v>0</v>
      </c>
      <c r="D55" s="34"/>
      <c r="E55" s="76"/>
      <c r="F55" s="37"/>
      <c r="G55" s="37"/>
      <c r="H55" s="76"/>
      <c r="I55" s="41"/>
    </row>
    <row r="56">
      <c r="A56" s="34"/>
      <c r="B56" s="34"/>
      <c r="C56" s="34" t="b">
        <v>0</v>
      </c>
      <c r="D56" s="34"/>
      <c r="E56" s="76"/>
      <c r="F56" s="76"/>
      <c r="G56" s="76"/>
      <c r="H56" s="76"/>
      <c r="I56" s="41"/>
    </row>
    <row r="57">
      <c r="A57" s="51"/>
      <c r="B57" s="52"/>
      <c r="C57" s="52"/>
      <c r="D57" s="52" t="s">
        <v>101</v>
      </c>
      <c r="E57" s="54">
        <f t="shared" ref="E57:F57" si="5">sum(E52:E56)</f>
        <v>0</v>
      </c>
      <c r="F57" s="54">
        <f t="shared" si="5"/>
        <v>0</v>
      </c>
      <c r="G57" s="54"/>
      <c r="H57" s="54"/>
      <c r="I57" s="56"/>
    </row>
  </sheetData>
  <mergeCells count="19">
    <mergeCell ref="A1:H1"/>
    <mergeCell ref="B2:H2"/>
    <mergeCell ref="I2:I3"/>
    <mergeCell ref="B3:H3"/>
    <mergeCell ref="B4:H4"/>
    <mergeCell ref="B5:H5"/>
    <mergeCell ref="I5:I6"/>
    <mergeCell ref="A30:H30"/>
    <mergeCell ref="A39:H39"/>
    <mergeCell ref="A40:H40"/>
    <mergeCell ref="A49:H49"/>
    <mergeCell ref="A50:H50"/>
    <mergeCell ref="B6:H6"/>
    <mergeCell ref="B7:H7"/>
    <mergeCell ref="A9:H9"/>
    <mergeCell ref="A10:H10"/>
    <mergeCell ref="A19:H19"/>
    <mergeCell ref="A20:H20"/>
    <mergeCell ref="A29:H29"/>
  </mergeCells>
  <dataValidations>
    <dataValidation type="list" allowBlank="1" sqref="D12:D16 D22:D26 D32:D36 D42:D46 D52:D56">
      <formula1>'Data Validation'!$A$2:$A$5</formula1>
    </dataValidation>
    <dataValidation type="list" allowBlank="1" sqref="E12:E16 E22:E26 E32:E36 E42:E46 E52:E56">
      <formula1>'Data Validation'!$B$2:$B$4</formula1>
    </dataValidation>
  </dataValidations>
  <hyperlinks>
    <hyperlink r:id="rId1" ref="I2"/>
    <hyperlink r:id="rId2" ref="I4"/>
    <hyperlink r:id="rId3" ref="I5"/>
  </hyperlink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35.0"/>
    <col customWidth="1" min="10" max="10" width="48.88"/>
  </cols>
  <sheetData>
    <row r="1" ht="66.75" customHeight="1">
      <c r="A1" s="404" t="s">
        <v>1472</v>
      </c>
      <c r="J1" s="2" t="s">
        <v>1</v>
      </c>
    </row>
    <row r="2">
      <c r="A2" s="3" t="s">
        <v>2</v>
      </c>
      <c r="B2" s="5" t="s">
        <v>287</v>
      </c>
      <c r="J2" s="13" t="s">
        <v>6</v>
      </c>
    </row>
    <row r="3">
      <c r="A3" s="3" t="s">
        <v>14</v>
      </c>
      <c r="B3" s="5" t="s">
        <v>1474</v>
      </c>
    </row>
    <row r="4">
      <c r="A4" s="3" t="s">
        <v>1475</v>
      </c>
      <c r="B4" s="5" t="s">
        <v>1476</v>
      </c>
      <c r="J4" s="24" t="s">
        <v>20</v>
      </c>
    </row>
    <row r="5">
      <c r="A5" s="3" t="s">
        <v>26</v>
      </c>
      <c r="B5" s="19">
        <v>19.0</v>
      </c>
      <c r="J5" s="24" t="s">
        <v>30</v>
      </c>
    </row>
    <row r="6">
      <c r="A6" s="3" t="s">
        <v>34</v>
      </c>
      <c r="B6" s="19">
        <v>2.0</v>
      </c>
    </row>
    <row r="7">
      <c r="A7" s="3" t="s">
        <v>36</v>
      </c>
      <c r="B7" s="5" t="s">
        <v>1478</v>
      </c>
      <c r="J7" s="405"/>
    </row>
    <row r="8" ht="7.5" customHeight="1">
      <c r="A8" s="23"/>
      <c r="B8" s="23"/>
      <c r="C8" s="23"/>
      <c r="D8" s="23"/>
      <c r="E8" s="25"/>
      <c r="F8" s="406"/>
      <c r="G8" s="406"/>
      <c r="H8" s="25"/>
      <c r="I8" s="407"/>
      <c r="J8" s="407"/>
    </row>
    <row r="9" ht="18.75" customHeight="1">
      <c r="A9" s="26" t="s">
        <v>1271</v>
      </c>
      <c r="J9" s="409"/>
    </row>
    <row r="10" ht="18.75" customHeight="1">
      <c r="A10" s="410" t="s">
        <v>1480</v>
      </c>
      <c r="J10" s="3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1481</v>
      </c>
    </row>
    <row r="12">
      <c r="A12" s="411" t="s">
        <v>1482</v>
      </c>
      <c r="B12" s="27">
        <v>1.300422E7</v>
      </c>
      <c r="C12" s="27" t="b">
        <v>0</v>
      </c>
      <c r="D12" s="27" t="s">
        <v>58</v>
      </c>
      <c r="E12" s="37">
        <v>1.0</v>
      </c>
      <c r="F12" s="413">
        <v>45.0</v>
      </c>
      <c r="G12" s="413"/>
      <c r="H12" s="37" t="s">
        <v>1484</v>
      </c>
      <c r="I12" s="414" t="s">
        <v>1485</v>
      </c>
      <c r="J12" s="67" t="s">
        <v>1486</v>
      </c>
    </row>
    <row r="13">
      <c r="A13" s="411" t="s">
        <v>1487</v>
      </c>
      <c r="B13" s="175">
        <v>1.30051E7</v>
      </c>
      <c r="C13" s="27" t="b">
        <v>1</v>
      </c>
      <c r="D13" s="27" t="s">
        <v>71</v>
      </c>
      <c r="E13" s="37">
        <v>2.0</v>
      </c>
      <c r="F13" s="413">
        <v>45.0</v>
      </c>
      <c r="G13" s="413"/>
      <c r="H13" s="37" t="s">
        <v>1489</v>
      </c>
      <c r="I13" s="355" t="s">
        <v>1485</v>
      </c>
      <c r="J13" s="67" t="s">
        <v>1490</v>
      </c>
    </row>
    <row r="14">
      <c r="A14" s="411" t="s">
        <v>1491</v>
      </c>
      <c r="B14" s="175">
        <v>1.30052E7</v>
      </c>
      <c r="C14" s="27" t="b">
        <v>1</v>
      </c>
      <c r="D14" s="27" t="s">
        <v>82</v>
      </c>
      <c r="E14" s="37">
        <v>2.0</v>
      </c>
      <c r="F14" s="413">
        <v>32.0</v>
      </c>
      <c r="G14" s="413"/>
      <c r="H14" s="37" t="s">
        <v>1492</v>
      </c>
      <c r="I14" s="355" t="s">
        <v>1485</v>
      </c>
      <c r="J14" s="67" t="s">
        <v>1493</v>
      </c>
    </row>
    <row r="15">
      <c r="A15" s="416" t="s">
        <v>1494</v>
      </c>
      <c r="B15" s="175">
        <v>1.300525E7</v>
      </c>
      <c r="C15" s="27" t="b">
        <v>1</v>
      </c>
      <c r="D15" s="27" t="s">
        <v>96</v>
      </c>
      <c r="E15" s="37">
        <v>2.0</v>
      </c>
      <c r="F15" s="413">
        <v>20.0</v>
      </c>
      <c r="G15" s="413"/>
      <c r="H15" s="37" t="s">
        <v>1492</v>
      </c>
      <c r="I15" s="355" t="s">
        <v>1495</v>
      </c>
      <c r="J15" s="67"/>
    </row>
    <row r="16">
      <c r="A16" s="51"/>
      <c r="B16" s="52"/>
      <c r="C16" s="52"/>
      <c r="D16" s="52" t="s">
        <v>101</v>
      </c>
      <c r="E16" s="54">
        <f t="shared" ref="E16:G16" si="1">sum(E12:E15)</f>
        <v>7</v>
      </c>
      <c r="F16" s="420">
        <f t="shared" si="1"/>
        <v>142</v>
      </c>
      <c r="G16" s="420">
        <f t="shared" si="1"/>
        <v>0</v>
      </c>
      <c r="H16" s="54"/>
      <c r="I16" s="403"/>
      <c r="J16" s="403"/>
    </row>
    <row r="17" ht="7.5" customHeight="1">
      <c r="A17" s="23"/>
      <c r="B17" s="23"/>
      <c r="C17" s="23"/>
      <c r="D17" s="23"/>
      <c r="E17" s="25"/>
      <c r="F17" s="406"/>
      <c r="G17" s="406"/>
      <c r="H17" s="25"/>
      <c r="I17" s="407"/>
      <c r="J17" s="407"/>
    </row>
    <row r="18" ht="18.75" customHeight="1">
      <c r="A18" s="26" t="s">
        <v>135</v>
      </c>
      <c r="J18" s="409"/>
    </row>
    <row r="19" ht="18.75" customHeight="1">
      <c r="A19" s="410" t="s">
        <v>1497</v>
      </c>
      <c r="J19" s="37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1501</v>
      </c>
    </row>
    <row r="21">
      <c r="A21" s="416" t="s">
        <v>1502</v>
      </c>
      <c r="B21" s="175">
        <v>1.300422E7</v>
      </c>
      <c r="C21" s="27" t="b">
        <v>0</v>
      </c>
      <c r="D21" s="27" t="s">
        <v>58</v>
      </c>
      <c r="E21" s="37">
        <v>1.0</v>
      </c>
      <c r="F21" s="413">
        <v>30.0</v>
      </c>
      <c r="G21" s="413"/>
      <c r="H21" s="37" t="s">
        <v>1510</v>
      </c>
      <c r="I21" s="414" t="s">
        <v>1485</v>
      </c>
      <c r="J21" s="67" t="s">
        <v>1486</v>
      </c>
    </row>
    <row r="22">
      <c r="A22" s="411" t="s">
        <v>1513</v>
      </c>
      <c r="B22" s="175">
        <v>1.30056E7</v>
      </c>
      <c r="C22" s="27" t="b">
        <v>1</v>
      </c>
      <c r="D22" s="27" t="s">
        <v>71</v>
      </c>
      <c r="E22" s="37">
        <v>1.0</v>
      </c>
      <c r="F22" s="413">
        <v>30.0</v>
      </c>
      <c r="G22" s="413"/>
      <c r="H22" s="37" t="s">
        <v>1516</v>
      </c>
      <c r="I22" s="355" t="s">
        <v>1517</v>
      </c>
      <c r="J22" s="67" t="s">
        <v>1518</v>
      </c>
    </row>
    <row r="23">
      <c r="A23" s="411" t="s">
        <v>1519</v>
      </c>
      <c r="B23" s="175">
        <v>1.30057E7</v>
      </c>
      <c r="C23" s="27" t="b">
        <v>1</v>
      </c>
      <c r="D23" s="27" t="s">
        <v>82</v>
      </c>
      <c r="E23" s="37">
        <v>2.0</v>
      </c>
      <c r="F23" s="413">
        <v>15.0</v>
      </c>
      <c r="G23" s="413"/>
      <c r="H23" s="37" t="s">
        <v>1516</v>
      </c>
      <c r="I23" s="355" t="s">
        <v>1517</v>
      </c>
      <c r="J23" s="67" t="s">
        <v>1520</v>
      </c>
    </row>
    <row r="24">
      <c r="A24" s="416" t="s">
        <v>1494</v>
      </c>
      <c r="B24" s="175">
        <v>1.300525E7</v>
      </c>
      <c r="C24" s="27" t="b">
        <v>1</v>
      </c>
      <c r="D24" s="27" t="s">
        <v>96</v>
      </c>
      <c r="E24" s="37">
        <v>2.0</v>
      </c>
      <c r="F24" s="413">
        <v>15.0</v>
      </c>
      <c r="G24" s="413"/>
      <c r="H24" s="37" t="s">
        <v>1516</v>
      </c>
      <c r="I24" s="355" t="s">
        <v>1517</v>
      </c>
      <c r="J24" s="316" t="s">
        <v>1521</v>
      </c>
    </row>
    <row r="25">
      <c r="A25" s="51"/>
      <c r="B25" s="52"/>
      <c r="C25" s="52"/>
      <c r="D25" s="52" t="s">
        <v>101</v>
      </c>
      <c r="E25" s="54">
        <f t="shared" ref="E25:G25" si="2">sum(E21:E24)</f>
        <v>6</v>
      </c>
      <c r="F25" s="420">
        <f t="shared" si="2"/>
        <v>90</v>
      </c>
      <c r="G25" s="420">
        <f t="shared" si="2"/>
        <v>0</v>
      </c>
      <c r="H25" s="54"/>
      <c r="I25" s="403"/>
      <c r="J25" s="403"/>
    </row>
    <row r="26" ht="7.5" customHeight="1">
      <c r="A26" s="23"/>
      <c r="B26" s="23"/>
      <c r="C26" s="23"/>
      <c r="D26" s="23"/>
      <c r="E26" s="25"/>
      <c r="F26" s="406"/>
      <c r="G26" s="406"/>
      <c r="H26" s="25"/>
      <c r="I26" s="407"/>
      <c r="J26" s="407"/>
    </row>
    <row r="27" ht="18.75" customHeight="1">
      <c r="A27" s="26" t="s">
        <v>111</v>
      </c>
      <c r="J27" s="409"/>
    </row>
    <row r="28" ht="18.75" customHeight="1">
      <c r="A28" s="101" t="s">
        <v>1524</v>
      </c>
      <c r="J28" s="37"/>
    </row>
    <row r="29">
      <c r="A29" s="28" t="s">
        <v>41</v>
      </c>
      <c r="B29" s="28" t="s">
        <v>42</v>
      </c>
      <c r="C29" s="29" t="s">
        <v>43</v>
      </c>
      <c r="D29" s="28" t="s">
        <v>46</v>
      </c>
      <c r="E29" s="29" t="s">
        <v>47</v>
      </c>
      <c r="F29" s="29" t="s">
        <v>48</v>
      </c>
      <c r="G29" s="29" t="s">
        <v>49</v>
      </c>
      <c r="H29" s="29" t="s">
        <v>50</v>
      </c>
      <c r="I29" s="29" t="s">
        <v>51</v>
      </c>
      <c r="J29" s="29" t="s">
        <v>1525</v>
      </c>
    </row>
    <row r="30">
      <c r="A30" s="411" t="s">
        <v>1528</v>
      </c>
      <c r="B30" s="175">
        <v>1.300422E7</v>
      </c>
      <c r="C30" s="27" t="b">
        <v>0</v>
      </c>
      <c r="D30" s="27" t="s">
        <v>58</v>
      </c>
      <c r="E30" s="37">
        <v>1.0</v>
      </c>
      <c r="F30" s="413">
        <v>45.0</v>
      </c>
      <c r="G30" s="413"/>
      <c r="H30" s="37" t="s">
        <v>1484</v>
      </c>
      <c r="I30" s="414" t="s">
        <v>1485</v>
      </c>
      <c r="J30" s="67" t="s">
        <v>1486</v>
      </c>
    </row>
    <row r="31">
      <c r="A31" s="411" t="s">
        <v>1533</v>
      </c>
      <c r="B31" s="175">
        <v>1.30058E7</v>
      </c>
      <c r="C31" s="27" t="b">
        <v>1</v>
      </c>
      <c r="D31" s="27" t="s">
        <v>71</v>
      </c>
      <c r="E31" s="37">
        <v>1.0</v>
      </c>
      <c r="F31" s="413">
        <v>45.0</v>
      </c>
      <c r="G31" s="413"/>
      <c r="H31" s="37" t="s">
        <v>1535</v>
      </c>
      <c r="I31" s="414" t="s">
        <v>1536</v>
      </c>
      <c r="J31" s="67" t="s">
        <v>1537</v>
      </c>
    </row>
    <row r="32">
      <c r="A32" s="411" t="s">
        <v>1538</v>
      </c>
      <c r="B32" s="175">
        <v>1.30059E7</v>
      </c>
      <c r="C32" s="27" t="b">
        <v>1</v>
      </c>
      <c r="D32" s="27" t="s">
        <v>82</v>
      </c>
      <c r="E32" s="37">
        <v>2.0</v>
      </c>
      <c r="F32" s="413">
        <v>30.0</v>
      </c>
      <c r="G32" s="413"/>
      <c r="H32" s="37" t="s">
        <v>1535</v>
      </c>
      <c r="I32" s="414" t="s">
        <v>1536</v>
      </c>
      <c r="J32" s="67" t="s">
        <v>1539</v>
      </c>
    </row>
    <row r="33">
      <c r="A33" s="416" t="s">
        <v>1494</v>
      </c>
      <c r="B33" s="175">
        <v>1.300525E7</v>
      </c>
      <c r="C33" s="27" t="b">
        <v>1</v>
      </c>
      <c r="D33" s="27" t="s">
        <v>96</v>
      </c>
      <c r="E33" s="37">
        <v>2.0</v>
      </c>
      <c r="F33" s="413">
        <v>15.0</v>
      </c>
      <c r="G33" s="413"/>
      <c r="H33" s="37" t="s">
        <v>1535</v>
      </c>
      <c r="I33" s="414" t="s">
        <v>1536</v>
      </c>
      <c r="J33" s="316" t="s">
        <v>1521</v>
      </c>
    </row>
    <row r="34">
      <c r="A34" s="51"/>
      <c r="B34" s="52"/>
      <c r="C34" s="52"/>
      <c r="D34" s="52" t="s">
        <v>101</v>
      </c>
      <c r="E34" s="54">
        <f t="shared" ref="E34:G34" si="3">sum(E30:E33)</f>
        <v>6</v>
      </c>
      <c r="F34" s="420">
        <f t="shared" si="3"/>
        <v>135</v>
      </c>
      <c r="G34" s="420">
        <f t="shared" si="3"/>
        <v>0</v>
      </c>
      <c r="H34" s="54"/>
      <c r="I34" s="403"/>
      <c r="J34" s="403"/>
    </row>
    <row r="35" ht="7.5" customHeight="1">
      <c r="A35" s="23"/>
      <c r="B35" s="23"/>
      <c r="C35" s="23"/>
      <c r="D35" s="23"/>
      <c r="E35" s="25"/>
      <c r="F35" s="406"/>
      <c r="G35" s="406"/>
      <c r="H35" s="25"/>
      <c r="I35" s="407"/>
      <c r="J35" s="407"/>
    </row>
    <row r="36" ht="18.75" customHeight="1">
      <c r="A36" s="26" t="s">
        <v>169</v>
      </c>
      <c r="J36" s="409"/>
    </row>
    <row r="37" ht="18.75" customHeight="1">
      <c r="A37" s="101" t="s">
        <v>1522</v>
      </c>
      <c r="J37" s="37"/>
    </row>
    <row r="38">
      <c r="A38" s="28" t="s">
        <v>41</v>
      </c>
      <c r="B38" s="28" t="s">
        <v>42</v>
      </c>
      <c r="C38" s="29" t="s">
        <v>43</v>
      </c>
      <c r="D38" s="28" t="s">
        <v>46</v>
      </c>
      <c r="E38" s="29" t="s">
        <v>47</v>
      </c>
      <c r="F38" s="29" t="s">
        <v>48</v>
      </c>
      <c r="G38" s="29" t="s">
        <v>49</v>
      </c>
      <c r="H38" s="29" t="s">
        <v>50</v>
      </c>
      <c r="I38" s="29" t="s">
        <v>51</v>
      </c>
      <c r="J38" s="29" t="s">
        <v>1542</v>
      </c>
    </row>
    <row r="39">
      <c r="A39" s="416" t="s">
        <v>1502</v>
      </c>
      <c r="B39" s="175">
        <v>1.300422E7</v>
      </c>
      <c r="C39" s="27" t="b">
        <v>0</v>
      </c>
      <c r="D39" s="27" t="s">
        <v>58</v>
      </c>
      <c r="E39" s="37">
        <v>1.0</v>
      </c>
      <c r="F39" s="413">
        <v>20.0</v>
      </c>
      <c r="G39" s="413"/>
      <c r="H39" s="37" t="s">
        <v>1510</v>
      </c>
      <c r="I39" s="414" t="s">
        <v>1485</v>
      </c>
      <c r="J39" s="67" t="s">
        <v>1486</v>
      </c>
    </row>
    <row r="40">
      <c r="A40" s="411" t="s">
        <v>1527</v>
      </c>
      <c r="B40" s="175">
        <v>1.3006E7</v>
      </c>
      <c r="C40" s="27" t="b">
        <v>1</v>
      </c>
      <c r="D40" s="27" t="s">
        <v>71</v>
      </c>
      <c r="E40" s="37">
        <v>1.0</v>
      </c>
      <c r="F40" s="413">
        <v>15.0</v>
      </c>
      <c r="G40" s="413"/>
      <c r="H40" s="37" t="s">
        <v>1510</v>
      </c>
      <c r="I40" s="414" t="s">
        <v>1547</v>
      </c>
      <c r="J40" s="67" t="s">
        <v>1548</v>
      </c>
    </row>
    <row r="41">
      <c r="A41" s="411" t="s">
        <v>1531</v>
      </c>
      <c r="B41" s="175">
        <v>1.30061E7</v>
      </c>
      <c r="C41" s="27" t="b">
        <v>1</v>
      </c>
      <c r="D41" s="27" t="s">
        <v>82</v>
      </c>
      <c r="E41" s="37">
        <v>1.0</v>
      </c>
      <c r="F41" s="413">
        <v>15.0</v>
      </c>
      <c r="G41" s="413"/>
      <c r="H41" s="37" t="s">
        <v>1510</v>
      </c>
      <c r="I41" s="414" t="s">
        <v>1547</v>
      </c>
      <c r="J41" s="67" t="s">
        <v>1551</v>
      </c>
    </row>
    <row r="42">
      <c r="A42" s="416" t="s">
        <v>1494</v>
      </c>
      <c r="B42" s="175">
        <v>1.300525E7</v>
      </c>
      <c r="C42" s="27" t="b">
        <v>1</v>
      </c>
      <c r="D42" s="27" t="s">
        <v>96</v>
      </c>
      <c r="E42" s="37">
        <v>2.0</v>
      </c>
      <c r="F42" s="413">
        <v>15.0</v>
      </c>
      <c r="G42" s="413"/>
      <c r="H42" s="37" t="s">
        <v>1510</v>
      </c>
      <c r="I42" s="414" t="s">
        <v>1547</v>
      </c>
      <c r="J42" s="67"/>
    </row>
    <row r="43">
      <c r="A43" s="51"/>
      <c r="B43" s="52"/>
      <c r="C43" s="52"/>
      <c r="D43" s="52" t="s">
        <v>101</v>
      </c>
      <c r="E43" s="54">
        <f t="shared" ref="E43:G43" si="4">sum(E39:E42)</f>
        <v>5</v>
      </c>
      <c r="F43" s="420">
        <f t="shared" si="4"/>
        <v>65</v>
      </c>
      <c r="G43" s="420">
        <f t="shared" si="4"/>
        <v>0</v>
      </c>
      <c r="H43" s="54"/>
      <c r="I43" s="403"/>
      <c r="J43" s="403"/>
    </row>
    <row r="44" ht="7.5" customHeight="1">
      <c r="A44" s="23"/>
      <c r="B44" s="23"/>
      <c r="C44" s="23"/>
      <c r="D44" s="23"/>
      <c r="E44" s="25"/>
      <c r="F44" s="406"/>
      <c r="G44" s="406"/>
      <c r="H44" s="25"/>
      <c r="I44" s="407"/>
      <c r="J44" s="407"/>
    </row>
    <row r="45" ht="18.75" customHeight="1">
      <c r="A45" s="26" t="s">
        <v>205</v>
      </c>
      <c r="J45" s="409"/>
    </row>
    <row r="46" ht="18.75" customHeight="1">
      <c r="A46" s="101" t="s">
        <v>1553</v>
      </c>
      <c r="J46" s="37"/>
    </row>
    <row r="47">
      <c r="A47" s="28" t="s">
        <v>41</v>
      </c>
      <c r="B47" s="28" t="s">
        <v>42</v>
      </c>
      <c r="C47" s="29" t="s">
        <v>43</v>
      </c>
      <c r="D47" s="28" t="s">
        <v>46</v>
      </c>
      <c r="E47" s="29" t="s">
        <v>47</v>
      </c>
      <c r="F47" s="29" t="s">
        <v>48</v>
      </c>
      <c r="G47" s="29" t="s">
        <v>49</v>
      </c>
      <c r="H47" s="29" t="s">
        <v>50</v>
      </c>
      <c r="I47" s="29" t="s">
        <v>51</v>
      </c>
      <c r="J47" s="29" t="s">
        <v>1555</v>
      </c>
    </row>
    <row r="48">
      <c r="A48" s="416" t="s">
        <v>959</v>
      </c>
      <c r="B48" s="377">
        <v>1.300421E7</v>
      </c>
      <c r="C48" s="27" t="b">
        <v>0</v>
      </c>
      <c r="D48" s="27" t="s">
        <v>58</v>
      </c>
      <c r="E48" s="37">
        <v>1.0</v>
      </c>
      <c r="F48" s="413">
        <v>72.0</v>
      </c>
      <c r="G48" s="413"/>
      <c r="H48" s="37" t="s">
        <v>1558</v>
      </c>
      <c r="I48" s="37" t="s">
        <v>1559</v>
      </c>
      <c r="J48" s="67"/>
    </row>
    <row r="49">
      <c r="A49" s="411" t="s">
        <v>619</v>
      </c>
      <c r="B49" s="431">
        <v>1.30046E7</v>
      </c>
      <c r="C49" s="27" t="b">
        <v>1</v>
      </c>
      <c r="D49" s="27" t="s">
        <v>71</v>
      </c>
      <c r="E49" s="37">
        <v>1.0</v>
      </c>
      <c r="F49" s="413">
        <v>36.0</v>
      </c>
      <c r="G49" s="413"/>
      <c r="H49" s="37" t="s">
        <v>1563</v>
      </c>
      <c r="I49" s="37" t="s">
        <v>1564</v>
      </c>
      <c r="J49" s="67" t="s">
        <v>1566</v>
      </c>
    </row>
    <row r="50">
      <c r="A50" s="411" t="s">
        <v>962</v>
      </c>
      <c r="B50" s="431">
        <v>1.30047E7</v>
      </c>
      <c r="C50" s="27" t="b">
        <v>1</v>
      </c>
      <c r="D50" s="27" t="s">
        <v>82</v>
      </c>
      <c r="E50" s="37">
        <v>2.0</v>
      </c>
      <c r="F50" s="413">
        <v>18.0</v>
      </c>
      <c r="G50" s="413"/>
      <c r="H50" s="37" t="s">
        <v>1563</v>
      </c>
      <c r="I50" s="37" t="s">
        <v>1564</v>
      </c>
      <c r="J50" s="67" t="s">
        <v>1566</v>
      </c>
    </row>
    <row r="51">
      <c r="A51" s="411" t="s">
        <v>963</v>
      </c>
      <c r="B51" s="431">
        <v>1.30048E7</v>
      </c>
      <c r="C51" s="27" t="b">
        <v>1</v>
      </c>
      <c r="D51" s="27" t="s">
        <v>96</v>
      </c>
      <c r="E51" s="37">
        <v>2.0</v>
      </c>
      <c r="F51" s="413">
        <v>18.0</v>
      </c>
      <c r="G51" s="413"/>
      <c r="H51" s="37" t="s">
        <v>1563</v>
      </c>
      <c r="I51" s="37" t="s">
        <v>1564</v>
      </c>
      <c r="J51" s="222" t="s">
        <v>1569</v>
      </c>
    </row>
    <row r="52">
      <c r="A52" s="51"/>
      <c r="B52" s="52"/>
      <c r="C52" s="52"/>
      <c r="D52" s="52" t="s">
        <v>101</v>
      </c>
      <c r="E52" s="54">
        <f t="shared" ref="E52:G52" si="5">sum(E48:E51)</f>
        <v>6</v>
      </c>
      <c r="F52" s="420">
        <f t="shared" si="5"/>
        <v>144</v>
      </c>
      <c r="G52" s="420">
        <f t="shared" si="5"/>
        <v>0</v>
      </c>
      <c r="H52" s="54"/>
      <c r="I52" s="403"/>
      <c r="J52" s="403"/>
    </row>
    <row r="53">
      <c r="A53" s="166"/>
      <c r="B53" s="276"/>
      <c r="C53" s="276"/>
      <c r="D53" s="276"/>
      <c r="E53" s="166"/>
      <c r="F53" s="278"/>
      <c r="G53" s="278"/>
      <c r="H53" s="432"/>
      <c r="I53" s="433"/>
      <c r="J53" s="434"/>
    </row>
    <row r="54">
      <c r="A54" s="435" t="s">
        <v>251</v>
      </c>
      <c r="J54" s="436"/>
    </row>
    <row r="55" ht="18.75" customHeight="1">
      <c r="A55" s="101" t="s">
        <v>1571</v>
      </c>
      <c r="J55" s="37"/>
    </row>
    <row r="56">
      <c r="A56" s="233" t="s">
        <v>41</v>
      </c>
      <c r="B56" s="233" t="s">
        <v>42</v>
      </c>
      <c r="C56" s="234" t="s">
        <v>43</v>
      </c>
      <c r="D56" s="233" t="s">
        <v>46</v>
      </c>
      <c r="E56" s="234" t="s">
        <v>47</v>
      </c>
      <c r="F56" s="29" t="s">
        <v>48</v>
      </c>
      <c r="G56" s="29" t="s">
        <v>49</v>
      </c>
      <c r="H56" s="234" t="s">
        <v>50</v>
      </c>
      <c r="I56" s="234" t="s">
        <v>51</v>
      </c>
      <c r="J56" s="437" t="s">
        <v>1574</v>
      </c>
    </row>
    <row r="57">
      <c r="A57" s="411" t="s">
        <v>1575</v>
      </c>
      <c r="B57" s="377">
        <v>1.300421E7</v>
      </c>
      <c r="C57" s="27" t="b">
        <v>0</v>
      </c>
      <c r="D57" s="27" t="s">
        <v>58</v>
      </c>
      <c r="E57" s="37">
        <v>1.0</v>
      </c>
      <c r="F57" s="413">
        <v>72.0</v>
      </c>
      <c r="G57" s="413"/>
      <c r="H57" s="37" t="s">
        <v>1558</v>
      </c>
      <c r="I57" s="37" t="s">
        <v>1559</v>
      </c>
      <c r="J57" s="438"/>
    </row>
    <row r="58">
      <c r="A58" s="411" t="s">
        <v>413</v>
      </c>
      <c r="B58" s="377"/>
      <c r="C58" s="27" t="b">
        <v>0</v>
      </c>
      <c r="D58" s="27" t="s">
        <v>71</v>
      </c>
      <c r="E58" s="37">
        <v>1.0</v>
      </c>
      <c r="F58" s="413"/>
      <c r="G58" s="413"/>
      <c r="H58" s="37" t="s">
        <v>1583</v>
      </c>
      <c r="I58" s="37" t="s">
        <v>1584</v>
      </c>
      <c r="J58" s="438"/>
    </row>
    <row r="59">
      <c r="A59" s="411" t="s">
        <v>1022</v>
      </c>
      <c r="B59" s="377">
        <v>1.30043E7</v>
      </c>
      <c r="C59" s="27" t="b">
        <v>1</v>
      </c>
      <c r="D59" s="27" t="s">
        <v>71</v>
      </c>
      <c r="E59" s="37">
        <v>1.0</v>
      </c>
      <c r="F59" s="413">
        <v>48.0</v>
      </c>
      <c r="G59" s="413"/>
      <c r="H59" s="37" t="s">
        <v>1588</v>
      </c>
      <c r="I59" s="37" t="s">
        <v>1559</v>
      </c>
      <c r="J59" s="67" t="s">
        <v>1566</v>
      </c>
    </row>
    <row r="60">
      <c r="A60" s="411" t="s">
        <v>310</v>
      </c>
      <c r="B60" s="377"/>
      <c r="C60" s="27" t="b">
        <v>1</v>
      </c>
      <c r="D60" s="27" t="s">
        <v>82</v>
      </c>
      <c r="E60" s="37">
        <v>1.0</v>
      </c>
      <c r="F60" s="413"/>
      <c r="G60" s="413"/>
      <c r="H60" s="37" t="s">
        <v>1589</v>
      </c>
      <c r="I60" s="37" t="s">
        <v>1590</v>
      </c>
      <c r="J60" s="67"/>
    </row>
    <row r="61">
      <c r="A61" s="411" t="s">
        <v>1032</v>
      </c>
      <c r="B61" s="377">
        <v>1.30044E7</v>
      </c>
      <c r="C61" s="27" t="b">
        <v>1</v>
      </c>
      <c r="D61" s="27" t="s">
        <v>82</v>
      </c>
      <c r="E61" s="37">
        <v>2.0</v>
      </c>
      <c r="F61" s="413">
        <v>24.0</v>
      </c>
      <c r="G61" s="413"/>
      <c r="H61" s="37" t="s">
        <v>1588</v>
      </c>
      <c r="I61" s="37" t="s">
        <v>1559</v>
      </c>
      <c r="J61" s="67" t="s">
        <v>1566</v>
      </c>
    </row>
    <row r="62">
      <c r="A62" s="411" t="s">
        <v>1591</v>
      </c>
      <c r="B62" s="431">
        <v>1.30045E7</v>
      </c>
      <c r="C62" s="27" t="b">
        <v>1</v>
      </c>
      <c r="D62" s="27" t="s">
        <v>96</v>
      </c>
      <c r="E62" s="37">
        <v>2.0</v>
      </c>
      <c r="F62" s="413">
        <v>24.0</v>
      </c>
      <c r="G62" s="413"/>
      <c r="H62" s="37" t="s">
        <v>1588</v>
      </c>
      <c r="I62" s="37" t="s">
        <v>1559</v>
      </c>
      <c r="J62" s="222" t="s">
        <v>1569</v>
      </c>
    </row>
    <row r="63">
      <c r="A63" s="411" t="s">
        <v>1592</v>
      </c>
      <c r="B63" s="431"/>
      <c r="C63" s="27" t="b">
        <v>1</v>
      </c>
      <c r="D63" s="27" t="s">
        <v>96</v>
      </c>
      <c r="E63" s="37">
        <v>2.0</v>
      </c>
      <c r="F63" s="413"/>
      <c r="G63" s="413"/>
      <c r="H63" s="37"/>
      <c r="I63" s="37"/>
      <c r="J63" s="443" t="s">
        <v>301</v>
      </c>
    </row>
    <row r="64">
      <c r="A64" s="264"/>
      <c r="B64" s="264"/>
      <c r="C64" s="264"/>
      <c r="D64" s="264" t="s">
        <v>101</v>
      </c>
      <c r="E64" s="447">
        <f>sum(E57:E63)</f>
        <v>10</v>
      </c>
      <c r="F64" s="447">
        <f t="shared" ref="F64:G64" si="6">sum(F57:F62)</f>
        <v>168</v>
      </c>
      <c r="G64" s="447">
        <f t="shared" si="6"/>
        <v>0</v>
      </c>
      <c r="H64" s="456"/>
      <c r="I64" s="264"/>
      <c r="J64" s="457"/>
    </row>
    <row r="65">
      <c r="A65" s="459"/>
      <c r="B65" s="459"/>
      <c r="C65" s="459"/>
      <c r="D65" s="459"/>
      <c r="E65" s="459"/>
      <c r="F65" s="460"/>
      <c r="G65" s="460"/>
      <c r="H65" s="461"/>
      <c r="I65" s="459"/>
      <c r="J65" s="462"/>
    </row>
    <row r="66">
      <c r="A66" s="152" t="s">
        <v>1603</v>
      </c>
      <c r="J66" s="465"/>
    </row>
    <row r="67">
      <c r="A67" s="101" t="s">
        <v>1605</v>
      </c>
      <c r="J67" s="208"/>
    </row>
    <row r="68">
      <c r="A68" s="28"/>
      <c r="B68" s="28"/>
      <c r="C68" s="29"/>
      <c r="D68" s="28"/>
      <c r="E68" s="29"/>
      <c r="F68" s="29"/>
      <c r="G68" s="29"/>
      <c r="H68" s="29"/>
      <c r="I68" s="29"/>
      <c r="J68" s="157" t="s">
        <v>1606</v>
      </c>
    </row>
    <row r="69">
      <c r="A69" s="416" t="s">
        <v>1607</v>
      </c>
      <c r="B69" s="377" t="s">
        <v>1608</v>
      </c>
      <c r="C69" s="27" t="b">
        <v>0</v>
      </c>
      <c r="D69" s="27" t="s">
        <v>58</v>
      </c>
      <c r="E69" s="37">
        <v>1.0</v>
      </c>
      <c r="F69" s="470"/>
      <c r="G69" s="470"/>
      <c r="H69" s="238" t="s">
        <v>1609</v>
      </c>
      <c r="I69" s="232" t="s">
        <v>1610</v>
      </c>
      <c r="J69" s="474"/>
    </row>
    <row r="70">
      <c r="A70" s="411" t="s">
        <v>413</v>
      </c>
      <c r="B70" s="377"/>
      <c r="C70" s="27" t="b">
        <v>0</v>
      </c>
      <c r="D70" s="27"/>
      <c r="E70" s="37">
        <v>1.0</v>
      </c>
      <c r="F70" s="413"/>
      <c r="G70" s="413"/>
      <c r="H70" s="37" t="s">
        <v>1583</v>
      </c>
      <c r="I70" s="37" t="s">
        <v>1584</v>
      </c>
      <c r="J70" s="474"/>
    </row>
    <row r="71">
      <c r="A71" s="416" t="s">
        <v>1612</v>
      </c>
      <c r="B71" s="377" t="s">
        <v>1613</v>
      </c>
      <c r="C71" s="27" t="b">
        <v>0</v>
      </c>
      <c r="D71" s="27" t="s">
        <v>71</v>
      </c>
      <c r="E71" s="37">
        <v>1.0</v>
      </c>
      <c r="F71" s="413"/>
      <c r="G71" s="413"/>
      <c r="H71" s="238" t="s">
        <v>1614</v>
      </c>
      <c r="I71" s="232" t="s">
        <v>1564</v>
      </c>
      <c r="J71" s="479" t="s">
        <v>1615</v>
      </c>
    </row>
    <row r="72">
      <c r="A72" s="411" t="s">
        <v>310</v>
      </c>
      <c r="B72" s="377"/>
      <c r="C72" s="27" t="b">
        <v>1</v>
      </c>
      <c r="D72" s="27"/>
      <c r="E72" s="37">
        <v>1.0</v>
      </c>
      <c r="F72" s="413"/>
      <c r="G72" s="413"/>
      <c r="H72" s="37" t="s">
        <v>1589</v>
      </c>
      <c r="I72" s="37" t="s">
        <v>1590</v>
      </c>
      <c r="J72" s="479"/>
    </row>
    <row r="73">
      <c r="A73" s="411" t="s">
        <v>1618</v>
      </c>
      <c r="B73" s="377" t="s">
        <v>1619</v>
      </c>
      <c r="C73" s="27" t="b">
        <v>1</v>
      </c>
      <c r="D73" s="27" t="s">
        <v>82</v>
      </c>
      <c r="E73" s="37">
        <v>1.0</v>
      </c>
      <c r="F73" s="413"/>
      <c r="G73" s="413"/>
      <c r="H73" s="238" t="s">
        <v>1609</v>
      </c>
      <c r="I73" s="232" t="s">
        <v>1622</v>
      </c>
      <c r="J73" s="479"/>
    </row>
    <row r="74">
      <c r="A74" s="411" t="s">
        <v>1623</v>
      </c>
      <c r="B74" s="377">
        <v>1.304045E7</v>
      </c>
      <c r="C74" s="27" t="b">
        <v>1</v>
      </c>
      <c r="D74" s="27" t="s">
        <v>82</v>
      </c>
      <c r="E74" s="37">
        <v>2.0</v>
      </c>
      <c r="F74" s="413"/>
      <c r="G74" s="413"/>
      <c r="H74" s="238" t="s">
        <v>1609</v>
      </c>
      <c r="I74" s="232" t="s">
        <v>1622</v>
      </c>
      <c r="J74" s="479" t="s">
        <v>1615</v>
      </c>
    </row>
    <row r="75">
      <c r="A75" s="411" t="s">
        <v>1626</v>
      </c>
      <c r="B75" s="377">
        <v>1.304046E7</v>
      </c>
      <c r="C75" s="27" t="b">
        <v>1</v>
      </c>
      <c r="D75" s="27" t="s">
        <v>96</v>
      </c>
      <c r="E75" s="37">
        <v>2.0</v>
      </c>
      <c r="F75" s="413"/>
      <c r="G75" s="413"/>
      <c r="H75" s="238" t="s">
        <v>1609</v>
      </c>
      <c r="I75" s="232" t="s">
        <v>1622</v>
      </c>
      <c r="J75" s="479" t="s">
        <v>1615</v>
      </c>
    </row>
    <row r="76">
      <c r="A76" s="411" t="s">
        <v>1631</v>
      </c>
      <c r="B76" s="377"/>
      <c r="C76" s="27" t="b">
        <v>1</v>
      </c>
      <c r="D76" s="27" t="s">
        <v>96</v>
      </c>
      <c r="E76" s="37">
        <v>2.0</v>
      </c>
      <c r="F76" s="413"/>
      <c r="G76" s="413"/>
      <c r="H76" s="238" t="s">
        <v>1636</v>
      </c>
      <c r="I76" s="232" t="s">
        <v>1636</v>
      </c>
      <c r="J76" s="443" t="s">
        <v>301</v>
      </c>
    </row>
    <row r="77">
      <c r="A77" s="126"/>
      <c r="B77" s="242"/>
      <c r="C77" s="242"/>
      <c r="D77" s="242"/>
      <c r="E77" s="165"/>
      <c r="F77" s="165"/>
      <c r="G77" s="165"/>
      <c r="H77" s="482"/>
      <c r="I77" s="210"/>
      <c r="J77" s="474"/>
    </row>
    <row r="78">
      <c r="A78" s="166"/>
      <c r="B78" s="276"/>
      <c r="C78" s="276"/>
      <c r="D78" s="276"/>
      <c r="E78" s="166"/>
      <c r="F78" s="278"/>
      <c r="G78" s="278"/>
      <c r="H78" s="432"/>
      <c r="I78" s="433"/>
      <c r="J78" s="434"/>
    </row>
    <row r="79">
      <c r="A79" s="152" t="s">
        <v>1645</v>
      </c>
      <c r="J79" s="465"/>
    </row>
    <row r="80">
      <c r="A80" s="101" t="s">
        <v>45</v>
      </c>
      <c r="J80" s="208"/>
    </row>
    <row r="81">
      <c r="A81" s="28"/>
      <c r="B81" s="28"/>
      <c r="C81" s="29"/>
      <c r="D81" s="28"/>
      <c r="E81" s="29"/>
      <c r="F81" s="29"/>
      <c r="G81" s="29"/>
      <c r="H81" s="29"/>
      <c r="I81" s="29"/>
      <c r="J81" s="157"/>
    </row>
    <row r="82">
      <c r="A82" s="416" t="s">
        <v>55</v>
      </c>
      <c r="B82" s="377">
        <v>1.303955E7</v>
      </c>
      <c r="C82" s="27" t="b">
        <v>0</v>
      </c>
      <c r="D82" s="27" t="s">
        <v>58</v>
      </c>
      <c r="E82" s="37">
        <v>1.0</v>
      </c>
      <c r="F82" s="470"/>
      <c r="G82" s="470"/>
      <c r="H82" s="238" t="s">
        <v>1654</v>
      </c>
      <c r="I82" s="232" t="s">
        <v>1655</v>
      </c>
      <c r="J82" s="488" t="s">
        <v>1656</v>
      </c>
    </row>
    <row r="83">
      <c r="A83" s="411" t="s">
        <v>1657</v>
      </c>
      <c r="B83" s="377">
        <v>1.30396E7</v>
      </c>
      <c r="C83" s="27" t="b">
        <v>1</v>
      </c>
      <c r="D83" s="27" t="s">
        <v>71</v>
      </c>
      <c r="E83" s="37">
        <v>2.0</v>
      </c>
      <c r="F83" s="470"/>
      <c r="G83" s="470"/>
      <c r="H83" s="238" t="s">
        <v>1661</v>
      </c>
      <c r="I83" s="232" t="s">
        <v>88</v>
      </c>
      <c r="J83" s="343" t="s">
        <v>77</v>
      </c>
    </row>
    <row r="84">
      <c r="A84" s="411" t="s">
        <v>1662</v>
      </c>
      <c r="B84" s="377">
        <v>1.30397E7</v>
      </c>
      <c r="C84" s="27" t="b">
        <v>1</v>
      </c>
      <c r="D84" s="27" t="s">
        <v>82</v>
      </c>
      <c r="E84" s="37">
        <v>2.0</v>
      </c>
      <c r="F84" s="470"/>
      <c r="G84" s="470"/>
      <c r="H84" s="238" t="s">
        <v>1636</v>
      </c>
      <c r="I84" s="232" t="s">
        <v>1666</v>
      </c>
      <c r="J84" s="488" t="s">
        <v>90</v>
      </c>
    </row>
    <row r="85">
      <c r="A85" s="411" t="s">
        <v>975</v>
      </c>
      <c r="B85" s="377">
        <v>1.304045E7</v>
      </c>
      <c r="C85" s="27" t="b">
        <v>1</v>
      </c>
      <c r="D85" s="27" t="s">
        <v>96</v>
      </c>
      <c r="E85" s="37">
        <v>2.0</v>
      </c>
      <c r="F85" s="470"/>
      <c r="G85" s="470"/>
      <c r="H85" s="238" t="s">
        <v>1636</v>
      </c>
      <c r="I85" s="232" t="s">
        <v>1670</v>
      </c>
      <c r="J85" s="488" t="s">
        <v>90</v>
      </c>
    </row>
    <row r="86">
      <c r="A86" s="126"/>
      <c r="B86" s="242"/>
      <c r="C86" s="242"/>
      <c r="D86" s="242"/>
      <c r="E86" s="165"/>
      <c r="F86" s="165"/>
      <c r="G86" s="165"/>
      <c r="H86" s="482"/>
      <c r="I86" s="210"/>
      <c r="J86" s="474"/>
    </row>
    <row r="87">
      <c r="A87" s="166"/>
      <c r="B87" s="276"/>
      <c r="C87" s="276"/>
      <c r="D87" s="276"/>
      <c r="E87" s="166"/>
      <c r="F87" s="278"/>
      <c r="G87" s="278"/>
      <c r="H87" s="432"/>
      <c r="I87" s="433"/>
      <c r="J87" s="434"/>
    </row>
    <row r="88">
      <c r="A88" s="152" t="s">
        <v>1645</v>
      </c>
      <c r="J88" s="465"/>
    </row>
    <row r="89">
      <c r="A89" s="493" t="s">
        <v>1676</v>
      </c>
      <c r="J89" s="208"/>
    </row>
    <row r="90">
      <c r="A90" s="28"/>
      <c r="B90" s="28"/>
      <c r="C90" s="29"/>
      <c r="D90" s="28"/>
      <c r="E90" s="29"/>
      <c r="F90" s="29"/>
      <c r="G90" s="29"/>
      <c r="H90" s="29"/>
      <c r="I90" s="29"/>
      <c r="J90" s="157"/>
    </row>
    <row r="91">
      <c r="A91" s="494" t="s">
        <v>1678</v>
      </c>
      <c r="B91" s="377"/>
      <c r="C91" s="27" t="b">
        <v>0</v>
      </c>
      <c r="D91" s="27" t="s">
        <v>58</v>
      </c>
      <c r="E91" s="37">
        <v>1.0</v>
      </c>
      <c r="F91" s="470"/>
      <c r="G91" s="470"/>
      <c r="H91" s="238" t="s">
        <v>1679</v>
      </c>
      <c r="I91" s="232" t="s">
        <v>1680</v>
      </c>
      <c r="J91" s="488"/>
    </row>
    <row r="92">
      <c r="A92" s="494" t="s">
        <v>1681</v>
      </c>
      <c r="B92" s="377"/>
      <c r="C92" s="27" t="b">
        <v>1</v>
      </c>
      <c r="D92" s="27" t="s">
        <v>71</v>
      </c>
      <c r="E92" s="37">
        <v>1.0</v>
      </c>
      <c r="F92" s="470"/>
      <c r="G92" s="470"/>
      <c r="H92" s="232" t="s">
        <v>1683</v>
      </c>
      <c r="I92" s="232" t="s">
        <v>1680</v>
      </c>
      <c r="J92" s="443" t="s">
        <v>1684</v>
      </c>
    </row>
    <row r="93">
      <c r="A93" s="464" t="s">
        <v>1685</v>
      </c>
      <c r="B93" s="377"/>
      <c r="C93" s="27" t="b">
        <v>1</v>
      </c>
      <c r="D93" s="27" t="s">
        <v>71</v>
      </c>
      <c r="E93" s="37">
        <v>1.0</v>
      </c>
      <c r="F93" s="470"/>
      <c r="G93" s="470"/>
      <c r="H93" s="238" t="s">
        <v>1683</v>
      </c>
      <c r="I93" s="232" t="s">
        <v>1680</v>
      </c>
      <c r="J93" s="443" t="s">
        <v>1688</v>
      </c>
    </row>
    <row r="94">
      <c r="A94" s="464" t="s">
        <v>1689</v>
      </c>
      <c r="B94" s="377"/>
      <c r="C94" s="27" t="b">
        <v>1</v>
      </c>
      <c r="D94" s="27" t="s">
        <v>82</v>
      </c>
      <c r="E94" s="37">
        <v>1.0</v>
      </c>
      <c r="F94" s="470"/>
      <c r="G94" s="470"/>
      <c r="H94" s="238" t="s">
        <v>1636</v>
      </c>
      <c r="I94" s="232" t="s">
        <v>1670</v>
      </c>
      <c r="J94" s="488"/>
    </row>
    <row r="95">
      <c r="A95" s="464" t="s">
        <v>1691</v>
      </c>
      <c r="B95" s="377"/>
      <c r="C95" s="27" t="b">
        <v>1</v>
      </c>
      <c r="D95" s="27" t="s">
        <v>82</v>
      </c>
      <c r="E95" s="37">
        <v>1.0</v>
      </c>
      <c r="F95" s="470"/>
      <c r="G95" s="470"/>
      <c r="H95" s="238" t="s">
        <v>1636</v>
      </c>
      <c r="I95" s="232" t="s">
        <v>1670</v>
      </c>
      <c r="J95" s="488"/>
    </row>
    <row r="96">
      <c r="A96" s="494" t="s">
        <v>1694</v>
      </c>
      <c r="B96" s="377"/>
      <c r="C96" s="27" t="b">
        <v>1</v>
      </c>
      <c r="D96" s="27" t="s">
        <v>96</v>
      </c>
      <c r="E96" s="37">
        <v>2.0</v>
      </c>
      <c r="F96" s="470"/>
      <c r="G96" s="470"/>
      <c r="H96" s="238" t="s">
        <v>1636</v>
      </c>
      <c r="I96" s="232" t="s">
        <v>1700</v>
      </c>
      <c r="J96" s="488"/>
    </row>
    <row r="97">
      <c r="A97" s="126"/>
      <c r="B97" s="242"/>
      <c r="C97" s="242"/>
      <c r="D97" s="242"/>
      <c r="E97" s="165"/>
      <c r="F97" s="165"/>
      <c r="G97" s="165"/>
      <c r="H97" s="482"/>
      <c r="I97" s="210"/>
      <c r="J97" s="474"/>
    </row>
    <row r="98">
      <c r="A98" s="166"/>
      <c r="B98" s="276"/>
      <c r="C98" s="276"/>
      <c r="D98" s="276"/>
      <c r="E98" s="166"/>
      <c r="F98" s="278"/>
      <c r="G98" s="278"/>
      <c r="H98" s="432"/>
      <c r="I98" s="433"/>
      <c r="J98" s="434"/>
    </row>
    <row r="99">
      <c r="A99" s="152" t="s">
        <v>1704</v>
      </c>
      <c r="J99" s="465"/>
    </row>
    <row r="100">
      <c r="A100" s="503" t="s">
        <v>1706</v>
      </c>
      <c r="J100" s="208"/>
    </row>
    <row r="101">
      <c r="A101" s="28"/>
      <c r="B101" s="28"/>
      <c r="C101" s="29"/>
      <c r="D101" s="28"/>
      <c r="E101" s="29"/>
      <c r="F101" s="29"/>
      <c r="G101" s="29"/>
      <c r="H101" s="29"/>
      <c r="I101" s="29"/>
      <c r="J101" s="157"/>
    </row>
    <row r="102">
      <c r="A102" s="505" t="s">
        <v>1711</v>
      </c>
      <c r="B102" s="377">
        <v>1.303295E7</v>
      </c>
      <c r="C102" s="455" t="b">
        <v>1</v>
      </c>
      <c r="D102" s="27" t="s">
        <v>82</v>
      </c>
      <c r="E102" s="37">
        <v>1.0</v>
      </c>
      <c r="F102" s="470"/>
      <c r="G102" s="470"/>
      <c r="H102" s="485" t="s">
        <v>1713</v>
      </c>
      <c r="I102" s="504" t="s">
        <v>88</v>
      </c>
      <c r="J102" s="443" t="s">
        <v>1714</v>
      </c>
    </row>
    <row r="103">
      <c r="A103" s="454" t="s">
        <v>1602</v>
      </c>
      <c r="B103" s="377">
        <v>1.303705E7</v>
      </c>
      <c r="C103" s="455" t="b">
        <v>1</v>
      </c>
      <c r="D103" s="27" t="s">
        <v>82</v>
      </c>
      <c r="E103" s="37">
        <v>1.0</v>
      </c>
      <c r="F103" s="470"/>
      <c r="G103" s="470"/>
      <c r="H103" s="504" t="s">
        <v>1715</v>
      </c>
      <c r="I103" s="504" t="s">
        <v>1716</v>
      </c>
      <c r="J103" s="443"/>
    </row>
    <row r="104">
      <c r="A104" s="464" t="s">
        <v>1604</v>
      </c>
      <c r="B104" s="377">
        <v>1.3033E7</v>
      </c>
      <c r="C104" s="455" t="b">
        <v>1</v>
      </c>
      <c r="D104" s="27" t="s">
        <v>96</v>
      </c>
      <c r="E104" s="37">
        <v>2.0</v>
      </c>
      <c r="F104" s="470"/>
      <c r="G104" s="470"/>
      <c r="H104" s="485" t="s">
        <v>1713</v>
      </c>
      <c r="I104" s="504" t="s">
        <v>88</v>
      </c>
      <c r="J104" s="443"/>
    </row>
    <row r="105">
      <c r="A105" s="126"/>
      <c r="B105" s="242"/>
      <c r="C105" s="242"/>
      <c r="D105" s="242"/>
      <c r="E105" s="165"/>
      <c r="F105" s="165"/>
      <c r="G105" s="165"/>
      <c r="H105" s="482"/>
      <c r="I105" s="210"/>
      <c r="J105" s="474"/>
    </row>
    <row r="106">
      <c r="A106" s="166"/>
      <c r="B106" s="276"/>
      <c r="C106" s="276"/>
      <c r="D106" s="276"/>
      <c r="E106" s="166"/>
      <c r="F106" s="278"/>
      <c r="G106" s="278"/>
      <c r="H106" s="432"/>
      <c r="I106" s="433"/>
      <c r="J106" s="434"/>
    </row>
    <row r="107">
      <c r="A107" s="152"/>
      <c r="J107" s="465"/>
    </row>
    <row r="108">
      <c r="A108" s="493" t="s">
        <v>1719</v>
      </c>
      <c r="J108" s="208"/>
    </row>
    <row r="109">
      <c r="A109" s="28" t="s">
        <v>41</v>
      </c>
      <c r="B109" s="28" t="s">
        <v>42</v>
      </c>
      <c r="C109" s="29" t="s">
        <v>43</v>
      </c>
      <c r="D109" s="28" t="s">
        <v>46</v>
      </c>
      <c r="E109" s="29" t="s">
        <v>47</v>
      </c>
      <c r="F109" s="29" t="s">
        <v>48</v>
      </c>
      <c r="G109" s="29" t="s">
        <v>49</v>
      </c>
      <c r="H109" s="29" t="s">
        <v>50</v>
      </c>
      <c r="I109" s="29" t="s">
        <v>51</v>
      </c>
      <c r="J109" s="157" t="s">
        <v>1723</v>
      </c>
    </row>
    <row r="110">
      <c r="A110" s="508" t="s">
        <v>1725</v>
      </c>
      <c r="B110" s="510">
        <v>1.303225E7</v>
      </c>
      <c r="C110" s="338" t="b">
        <v>0</v>
      </c>
      <c r="D110" s="27" t="s">
        <v>58</v>
      </c>
      <c r="E110" s="37">
        <v>1.0</v>
      </c>
      <c r="F110" s="470">
        <v>45.0</v>
      </c>
      <c r="G110" s="470"/>
      <c r="H110" s="485" t="s">
        <v>1730</v>
      </c>
      <c r="I110" s="504" t="s">
        <v>1732</v>
      </c>
      <c r="J110" s="67" t="s">
        <v>1486</v>
      </c>
    </row>
    <row r="111">
      <c r="A111" s="508" t="s">
        <v>1733</v>
      </c>
      <c r="B111" s="510">
        <v>1.30323E7</v>
      </c>
      <c r="C111" s="338" t="b">
        <v>1</v>
      </c>
      <c r="D111" s="27" t="s">
        <v>71</v>
      </c>
      <c r="E111" s="37">
        <v>2.0</v>
      </c>
      <c r="F111" s="470">
        <v>30.0</v>
      </c>
      <c r="G111" s="470"/>
      <c r="H111" s="485" t="s">
        <v>1730</v>
      </c>
      <c r="I111" s="504" t="s">
        <v>1732</v>
      </c>
      <c r="J111" s="443" t="s">
        <v>1739</v>
      </c>
    </row>
    <row r="112">
      <c r="A112" s="494" t="s">
        <v>1741</v>
      </c>
      <c r="B112" s="510">
        <v>1.30324E7</v>
      </c>
      <c r="C112" s="338" t="b">
        <v>1</v>
      </c>
      <c r="D112" s="27" t="s">
        <v>82</v>
      </c>
      <c r="E112" s="37">
        <v>2.0</v>
      </c>
      <c r="F112" s="470">
        <v>0.0</v>
      </c>
      <c r="G112" s="470"/>
      <c r="H112" s="485" t="s">
        <v>1730</v>
      </c>
      <c r="I112" s="504" t="s">
        <v>1732</v>
      </c>
      <c r="J112" s="443" t="s">
        <v>1743</v>
      </c>
    </row>
    <row r="113">
      <c r="A113" s="508" t="s">
        <v>1745</v>
      </c>
      <c r="B113" s="510">
        <v>1.3033E7</v>
      </c>
      <c r="C113" s="338" t="b">
        <v>1</v>
      </c>
      <c r="D113" s="27" t="s">
        <v>96</v>
      </c>
      <c r="E113" s="37">
        <v>2.0</v>
      </c>
      <c r="F113" s="470">
        <v>0.0</v>
      </c>
      <c r="G113" s="470"/>
      <c r="H113" s="485" t="s">
        <v>1636</v>
      </c>
      <c r="I113" s="504" t="s">
        <v>1670</v>
      </c>
      <c r="J113" s="443" t="s">
        <v>1749</v>
      </c>
    </row>
    <row r="114">
      <c r="A114" s="126"/>
      <c r="B114" s="242"/>
      <c r="C114" s="242"/>
      <c r="D114" s="242" t="s">
        <v>101</v>
      </c>
      <c r="E114" s="165">
        <f t="shared" ref="E114:G114" si="7">sum(E110:E113)</f>
        <v>7</v>
      </c>
      <c r="F114" s="165">
        <f t="shared" si="7"/>
        <v>75</v>
      </c>
      <c r="G114" s="165">
        <f t="shared" si="7"/>
        <v>0</v>
      </c>
      <c r="H114" s="482"/>
      <c r="I114" s="210"/>
      <c r="J114" s="474"/>
    </row>
    <row r="115">
      <c r="A115" s="166"/>
      <c r="B115" s="276"/>
      <c r="C115" s="276"/>
      <c r="D115" s="276"/>
      <c r="E115" s="166"/>
      <c r="F115" s="278"/>
      <c r="G115" s="278"/>
      <c r="H115" s="432"/>
      <c r="I115" s="433"/>
      <c r="J115" s="434"/>
    </row>
    <row r="116">
      <c r="A116" s="152"/>
      <c r="J116" s="465"/>
    </row>
    <row r="117">
      <c r="A117" s="518" t="s">
        <v>1752</v>
      </c>
      <c r="J117" s="208"/>
    </row>
    <row r="118">
      <c r="A118" s="28" t="s">
        <v>41</v>
      </c>
      <c r="B118" s="28" t="s">
        <v>42</v>
      </c>
      <c r="C118" s="29" t="s">
        <v>43</v>
      </c>
      <c r="D118" s="28" t="s">
        <v>46</v>
      </c>
      <c r="E118" s="29" t="s">
        <v>47</v>
      </c>
      <c r="F118" s="29" t="s">
        <v>48</v>
      </c>
      <c r="G118" s="29" t="s">
        <v>49</v>
      </c>
      <c r="H118" s="29" t="s">
        <v>50</v>
      </c>
      <c r="I118" s="29" t="s">
        <v>51</v>
      </c>
      <c r="J118" s="521" t="s">
        <v>1754</v>
      </c>
    </row>
    <row r="119">
      <c r="A119" s="522" t="s">
        <v>1718</v>
      </c>
      <c r="B119" s="523">
        <v>3580850.0</v>
      </c>
      <c r="C119" s="338" t="b">
        <v>1</v>
      </c>
      <c r="D119" s="27" t="s">
        <v>58</v>
      </c>
      <c r="E119" s="37">
        <v>1.0</v>
      </c>
      <c r="F119" s="470">
        <v>72.0</v>
      </c>
      <c r="G119" s="470"/>
      <c r="H119" s="238" t="s">
        <v>1756</v>
      </c>
      <c r="I119" s="238" t="s">
        <v>1564</v>
      </c>
      <c r="J119" s="525" t="s">
        <v>1728</v>
      </c>
    </row>
    <row r="120">
      <c r="A120" s="526" t="s">
        <v>1243</v>
      </c>
      <c r="B120" s="523">
        <v>3580140.0</v>
      </c>
      <c r="C120" s="338" t="b">
        <v>1</v>
      </c>
      <c r="D120" s="27" t="s">
        <v>58</v>
      </c>
      <c r="E120" s="37">
        <v>1.0</v>
      </c>
      <c r="F120" s="470">
        <v>72.0</v>
      </c>
      <c r="G120" s="470"/>
      <c r="H120" s="238" t="s">
        <v>1756</v>
      </c>
      <c r="I120" s="238" t="s">
        <v>1696</v>
      </c>
      <c r="J120" s="527" t="s">
        <v>1628</v>
      </c>
    </row>
    <row r="121">
      <c r="A121" s="528" t="s">
        <v>1644</v>
      </c>
      <c r="B121" s="529">
        <v>1.302741E7</v>
      </c>
      <c r="C121" s="338" t="b">
        <v>1</v>
      </c>
      <c r="D121" s="27" t="s">
        <v>82</v>
      </c>
      <c r="E121" s="37">
        <v>1.0</v>
      </c>
      <c r="F121" s="470">
        <v>48.0</v>
      </c>
      <c r="G121" s="470"/>
      <c r="H121" s="238" t="s">
        <v>1759</v>
      </c>
      <c r="I121" s="238" t="s">
        <v>1760</v>
      </c>
      <c r="J121" s="525" t="s">
        <v>1647</v>
      </c>
    </row>
    <row r="122">
      <c r="A122" s="526" t="s">
        <v>722</v>
      </c>
      <c r="B122" s="523" t="s">
        <v>1734</v>
      </c>
      <c r="C122" s="338" t="b">
        <v>1</v>
      </c>
      <c r="D122" s="27" t="s">
        <v>71</v>
      </c>
      <c r="E122" s="37">
        <v>1.0</v>
      </c>
      <c r="F122" s="470">
        <v>48.0</v>
      </c>
      <c r="G122" s="470"/>
      <c r="H122" s="238" t="s">
        <v>1759</v>
      </c>
      <c r="I122" s="238" t="s">
        <v>1760</v>
      </c>
      <c r="J122" s="531" t="s">
        <v>1763</v>
      </c>
    </row>
    <row r="123">
      <c r="A123" s="526" t="s">
        <v>1740</v>
      </c>
      <c r="B123" s="523">
        <v>3580200.0</v>
      </c>
      <c r="C123" s="338" t="b">
        <v>1</v>
      </c>
      <c r="D123" s="27" t="s">
        <v>96</v>
      </c>
      <c r="E123" s="37">
        <v>1.0</v>
      </c>
      <c r="F123" s="470">
        <v>24.0</v>
      </c>
      <c r="G123" s="470"/>
      <c r="H123" s="238" t="s">
        <v>1759</v>
      </c>
      <c r="I123" s="238" t="s">
        <v>1760</v>
      </c>
      <c r="J123" s="532"/>
    </row>
    <row r="124">
      <c r="A124" s="526" t="s">
        <v>1744</v>
      </c>
      <c r="B124" s="523">
        <v>3580360.0</v>
      </c>
      <c r="C124" s="338" t="b">
        <v>1</v>
      </c>
      <c r="D124" s="27" t="s">
        <v>82</v>
      </c>
      <c r="E124" s="37">
        <v>1.0</v>
      </c>
      <c r="F124" s="470">
        <v>24.0</v>
      </c>
      <c r="G124" s="470"/>
      <c r="H124" s="238" t="s">
        <v>1756</v>
      </c>
      <c r="I124" s="238" t="s">
        <v>1696</v>
      </c>
      <c r="J124" s="532" t="s">
        <v>1765</v>
      </c>
    </row>
    <row r="125">
      <c r="A125" s="526" t="s">
        <v>1748</v>
      </c>
      <c r="B125" s="523">
        <v>3580855.0</v>
      </c>
      <c r="C125" s="338" t="b">
        <v>1</v>
      </c>
      <c r="D125" s="27" t="s">
        <v>96</v>
      </c>
      <c r="E125" s="37">
        <v>2.0</v>
      </c>
      <c r="F125" s="470">
        <v>24.0</v>
      </c>
      <c r="G125" s="470"/>
      <c r="H125" s="238" t="s">
        <v>1759</v>
      </c>
      <c r="I125" s="238" t="s">
        <v>1760</v>
      </c>
    </row>
    <row r="126">
      <c r="A126" s="533"/>
      <c r="G126" s="470"/>
      <c r="H126" s="238"/>
      <c r="I126" s="238"/>
      <c r="J126" s="532"/>
    </row>
    <row r="127">
      <c r="A127" s="126"/>
      <c r="B127" s="242"/>
      <c r="C127" s="242"/>
      <c r="D127" s="242" t="s">
        <v>101</v>
      </c>
      <c r="E127" s="165">
        <f t="shared" ref="E127:G127" si="8">sum(E119:E125)</f>
        <v>8</v>
      </c>
      <c r="F127" s="165">
        <f t="shared" si="8"/>
        <v>312</v>
      </c>
      <c r="G127" s="165">
        <f t="shared" si="8"/>
        <v>0</v>
      </c>
      <c r="H127" s="482"/>
      <c r="I127" s="210"/>
      <c r="J127" s="474"/>
    </row>
    <row r="128">
      <c r="A128" s="166"/>
      <c r="B128" s="276"/>
      <c r="C128" s="276"/>
      <c r="D128" s="276"/>
      <c r="E128" s="166"/>
      <c r="F128" s="278"/>
      <c r="G128" s="278"/>
      <c r="H128" s="432"/>
      <c r="I128" s="433"/>
      <c r="J128" s="434"/>
    </row>
    <row r="129">
      <c r="A129" s="152" t="s">
        <v>1771</v>
      </c>
      <c r="J129" s="465"/>
    </row>
    <row r="130">
      <c r="A130" s="534" t="s">
        <v>1673</v>
      </c>
      <c r="J130" s="208"/>
    </row>
    <row r="131">
      <c r="A131" s="28" t="s">
        <v>41</v>
      </c>
      <c r="B131" s="28" t="s">
        <v>42</v>
      </c>
      <c r="C131" s="29" t="s">
        <v>43</v>
      </c>
      <c r="D131" s="28" t="s">
        <v>46</v>
      </c>
      <c r="E131" s="29" t="s">
        <v>47</v>
      </c>
      <c r="F131" s="29" t="s">
        <v>48</v>
      </c>
      <c r="G131" s="29" t="s">
        <v>49</v>
      </c>
      <c r="H131" s="29" t="s">
        <v>50</v>
      </c>
      <c r="I131" s="29" t="s">
        <v>51</v>
      </c>
      <c r="J131" s="157" t="s">
        <v>1778</v>
      </c>
    </row>
    <row r="132">
      <c r="A132" s="511" t="s">
        <v>1264</v>
      </c>
      <c r="B132" s="523">
        <v>3580140.0</v>
      </c>
      <c r="C132" s="338" t="b">
        <v>1</v>
      </c>
      <c r="D132" s="27" t="s">
        <v>58</v>
      </c>
      <c r="E132" s="37">
        <v>1.0</v>
      </c>
      <c r="F132" s="470">
        <v>144.0</v>
      </c>
      <c r="G132" s="470"/>
      <c r="H132" s="238" t="s">
        <v>1780</v>
      </c>
      <c r="I132" s="238" t="s">
        <v>1696</v>
      </c>
      <c r="J132" s="443" t="s">
        <v>1722</v>
      </c>
    </row>
    <row r="133">
      <c r="A133" s="411" t="s">
        <v>1438</v>
      </c>
      <c r="B133" s="523">
        <v>3580200.0</v>
      </c>
      <c r="C133" s="338" t="b">
        <v>1</v>
      </c>
      <c r="D133" s="27" t="s">
        <v>71</v>
      </c>
      <c r="E133" s="37">
        <v>1.0</v>
      </c>
      <c r="F133" s="470">
        <v>144.0</v>
      </c>
      <c r="G133" s="470"/>
      <c r="H133" s="238" t="s">
        <v>1782</v>
      </c>
      <c r="I133" s="238" t="s">
        <v>1783</v>
      </c>
      <c r="J133" s="535" t="s">
        <v>1692</v>
      </c>
    </row>
    <row r="134">
      <c r="A134" s="411" t="s">
        <v>600</v>
      </c>
      <c r="B134" s="523">
        <v>3580380.0</v>
      </c>
      <c r="C134" s="338" t="b">
        <v>1</v>
      </c>
      <c r="D134" s="27" t="s">
        <v>71</v>
      </c>
      <c r="E134" s="37">
        <v>1.0</v>
      </c>
      <c r="F134" s="470">
        <v>144.0</v>
      </c>
      <c r="G134" s="470"/>
      <c r="H134" s="238" t="s">
        <v>1784</v>
      </c>
      <c r="I134" s="232" t="s">
        <v>1696</v>
      </c>
      <c r="J134" s="535" t="s">
        <v>1785</v>
      </c>
    </row>
    <row r="135">
      <c r="A135" s="411" t="s">
        <v>1439</v>
      </c>
      <c r="B135" s="523">
        <v>3580300.0</v>
      </c>
      <c r="C135" s="338" t="b">
        <v>1</v>
      </c>
      <c r="D135" s="27" t="s">
        <v>82</v>
      </c>
      <c r="E135" s="37">
        <v>1.0</v>
      </c>
      <c r="F135" s="470">
        <v>18.0</v>
      </c>
      <c r="G135" s="470"/>
      <c r="H135" s="238" t="s">
        <v>1782</v>
      </c>
      <c r="I135" s="238" t="s">
        <v>1783</v>
      </c>
      <c r="J135" s="535" t="s">
        <v>1692</v>
      </c>
    </row>
    <row r="136">
      <c r="A136" s="411" t="s">
        <v>1698</v>
      </c>
      <c r="B136" s="536">
        <v>3580390.0</v>
      </c>
      <c r="C136" s="338" t="b">
        <v>1</v>
      </c>
      <c r="D136" s="27" t="s">
        <v>82</v>
      </c>
      <c r="E136" s="37">
        <v>1.0</v>
      </c>
      <c r="F136" s="470">
        <v>144.0</v>
      </c>
      <c r="G136" s="470"/>
      <c r="H136" s="238" t="s">
        <v>1786</v>
      </c>
      <c r="I136" s="232" t="s">
        <v>1456</v>
      </c>
      <c r="J136" s="535" t="s">
        <v>1787</v>
      </c>
    </row>
    <row r="137">
      <c r="A137" s="411" t="s">
        <v>1788</v>
      </c>
      <c r="B137" s="523">
        <v>3580350.0</v>
      </c>
      <c r="C137" s="338" t="b">
        <v>1</v>
      </c>
      <c r="D137" s="27" t="s">
        <v>96</v>
      </c>
      <c r="E137" s="37">
        <v>1.0</v>
      </c>
      <c r="F137" s="470">
        <v>0.0</v>
      </c>
      <c r="G137" s="470"/>
      <c r="H137" s="37" t="s">
        <v>1583</v>
      </c>
      <c r="I137" s="37" t="s">
        <v>1584</v>
      </c>
      <c r="J137" s="535" t="s">
        <v>1701</v>
      </c>
    </row>
    <row r="138">
      <c r="A138" s="416" t="s">
        <v>1183</v>
      </c>
      <c r="B138" s="523">
        <v>1.3028E7</v>
      </c>
      <c r="C138" s="338" t="b">
        <v>1</v>
      </c>
      <c r="D138" s="27" t="s">
        <v>96</v>
      </c>
      <c r="E138" s="37">
        <v>2.0</v>
      </c>
      <c r="F138" s="470">
        <v>0.0</v>
      </c>
      <c r="G138" s="470"/>
      <c r="H138" s="238" t="s">
        <v>1636</v>
      </c>
      <c r="I138" s="232" t="s">
        <v>1670</v>
      </c>
      <c r="J138" s="474"/>
    </row>
    <row r="139">
      <c r="A139" s="126"/>
      <c r="B139" s="242"/>
      <c r="C139" s="242"/>
      <c r="D139" s="242" t="s">
        <v>101</v>
      </c>
      <c r="E139" s="165">
        <f t="shared" ref="E139:G139" si="9">sum(E132:E138)</f>
        <v>8</v>
      </c>
      <c r="F139" s="165">
        <f t="shared" si="9"/>
        <v>594</v>
      </c>
      <c r="G139" s="165">
        <f t="shared" si="9"/>
        <v>0</v>
      </c>
      <c r="H139" s="482"/>
      <c r="I139" s="210"/>
      <c r="J139" s="474"/>
    </row>
    <row r="140">
      <c r="A140" s="166"/>
      <c r="B140" s="276"/>
      <c r="C140" s="276"/>
      <c r="D140" s="276"/>
      <c r="E140" s="166"/>
      <c r="F140" s="278"/>
      <c r="G140" s="278"/>
      <c r="H140" s="432"/>
      <c r="I140" s="433"/>
      <c r="J140" s="434"/>
    </row>
    <row r="141">
      <c r="A141" s="152" t="s">
        <v>1805</v>
      </c>
      <c r="J141" s="465"/>
    </row>
    <row r="142">
      <c r="A142" s="538" t="s">
        <v>1635</v>
      </c>
      <c r="J142" s="208"/>
    </row>
    <row r="143">
      <c r="A143" s="28" t="s">
        <v>41</v>
      </c>
      <c r="B143" s="28" t="s">
        <v>42</v>
      </c>
      <c r="C143" s="29" t="s">
        <v>43</v>
      </c>
      <c r="D143" s="28" t="s">
        <v>46</v>
      </c>
      <c r="E143" s="29" t="s">
        <v>47</v>
      </c>
      <c r="F143" s="29" t="s">
        <v>48</v>
      </c>
      <c r="G143" s="29" t="s">
        <v>49</v>
      </c>
      <c r="H143" s="29" t="s">
        <v>50</v>
      </c>
      <c r="I143" s="29" t="s">
        <v>51</v>
      </c>
      <c r="J143" s="157" t="s">
        <v>1809</v>
      </c>
    </row>
    <row r="144">
      <c r="A144" s="508" t="s">
        <v>504</v>
      </c>
      <c r="B144" s="175">
        <v>1.30202E7</v>
      </c>
      <c r="C144" s="338" t="b">
        <v>0</v>
      </c>
      <c r="D144" s="27" t="s">
        <v>58</v>
      </c>
      <c r="E144" s="37">
        <v>1.0</v>
      </c>
      <c r="F144" s="470">
        <v>120.0</v>
      </c>
      <c r="G144" s="470"/>
      <c r="H144" s="485" t="s">
        <v>1811</v>
      </c>
      <c r="I144" s="504" t="s">
        <v>1812</v>
      </c>
      <c r="J144" s="474"/>
    </row>
    <row r="145">
      <c r="A145" s="494" t="s">
        <v>1653</v>
      </c>
      <c r="B145" s="431">
        <v>1.30203E7</v>
      </c>
      <c r="C145" s="338" t="b">
        <v>0</v>
      </c>
      <c r="D145" s="27" t="s">
        <v>71</v>
      </c>
      <c r="E145" s="37">
        <v>1.0</v>
      </c>
      <c r="F145" s="470">
        <v>120.0</v>
      </c>
      <c r="G145" s="470"/>
      <c r="H145" s="485" t="s">
        <v>1814</v>
      </c>
      <c r="I145" s="504" t="s">
        <v>1812</v>
      </c>
      <c r="J145" s="474"/>
    </row>
    <row r="146">
      <c r="A146" s="505" t="s">
        <v>1817</v>
      </c>
      <c r="B146" s="431">
        <v>1.30204E7</v>
      </c>
      <c r="C146" s="338" t="b">
        <v>1</v>
      </c>
      <c r="D146" s="27" t="s">
        <v>82</v>
      </c>
      <c r="E146" s="37">
        <v>1.0</v>
      </c>
      <c r="F146" s="470">
        <v>72.0</v>
      </c>
      <c r="G146" s="470"/>
      <c r="H146" s="485" t="s">
        <v>1818</v>
      </c>
      <c r="I146" s="504" t="s">
        <v>1812</v>
      </c>
      <c r="J146" s="474"/>
    </row>
    <row r="147">
      <c r="A147" s="548" t="s">
        <v>1665</v>
      </c>
      <c r="B147" s="232">
        <v>1.30206E7</v>
      </c>
      <c r="C147" s="338" t="b">
        <v>1</v>
      </c>
      <c r="D147" s="27"/>
      <c r="E147" s="37">
        <v>1.0</v>
      </c>
      <c r="F147" s="43"/>
      <c r="G147" s="43"/>
      <c r="H147" s="485" t="s">
        <v>1822</v>
      </c>
      <c r="I147" s="504" t="s">
        <v>1812</v>
      </c>
      <c r="J147" s="474"/>
    </row>
    <row r="148">
      <c r="A148" s="548" t="s">
        <v>1823</v>
      </c>
      <c r="B148" s="232">
        <v>1.30205E7</v>
      </c>
      <c r="C148" s="338" t="b">
        <v>1</v>
      </c>
      <c r="D148" s="27" t="s">
        <v>82</v>
      </c>
      <c r="E148" s="37">
        <v>1.0</v>
      </c>
      <c r="F148" s="43">
        <v>72.0</v>
      </c>
      <c r="G148" s="43"/>
      <c r="H148" s="485" t="s">
        <v>1824</v>
      </c>
      <c r="I148" s="504" t="s">
        <v>1825</v>
      </c>
      <c r="J148" s="443"/>
    </row>
    <row r="149">
      <c r="A149" s="548" t="s">
        <v>1823</v>
      </c>
      <c r="B149" s="232">
        <v>1.302051E7</v>
      </c>
      <c r="C149" s="338" t="b">
        <v>1</v>
      </c>
      <c r="D149" s="27" t="s">
        <v>96</v>
      </c>
      <c r="E149" s="37">
        <v>2.0</v>
      </c>
      <c r="F149" s="470">
        <v>0.0</v>
      </c>
      <c r="G149" s="470"/>
      <c r="H149" s="485" t="s">
        <v>1824</v>
      </c>
      <c r="I149" s="504" t="s">
        <v>1825</v>
      </c>
      <c r="J149" s="443" t="s">
        <v>1826</v>
      </c>
    </row>
    <row r="150">
      <c r="A150" s="126"/>
      <c r="B150" s="242"/>
      <c r="C150" s="242"/>
      <c r="D150" s="242" t="s">
        <v>101</v>
      </c>
      <c r="E150" s="165">
        <f t="shared" ref="E150:G150" si="10">sum(E144:E149)</f>
        <v>7</v>
      </c>
      <c r="F150" s="165">
        <f t="shared" si="10"/>
        <v>384</v>
      </c>
      <c r="G150" s="165">
        <f t="shared" si="10"/>
        <v>0</v>
      </c>
      <c r="H150" s="482"/>
      <c r="I150" s="210"/>
      <c r="J150" s="474"/>
    </row>
    <row r="151">
      <c r="A151" s="166"/>
      <c r="B151" s="276"/>
      <c r="C151" s="276"/>
      <c r="D151" s="276"/>
      <c r="E151" s="166"/>
      <c r="F151" s="278"/>
      <c r="G151" s="278"/>
      <c r="H151" s="432"/>
      <c r="I151" s="433"/>
      <c r="J151" s="434"/>
    </row>
    <row r="152">
      <c r="A152" s="152" t="s">
        <v>1828</v>
      </c>
      <c r="J152" s="465"/>
    </row>
    <row r="153">
      <c r="A153" s="551" t="s">
        <v>1829</v>
      </c>
      <c r="J153" s="208"/>
    </row>
    <row r="154">
      <c r="A154" s="28" t="s">
        <v>41</v>
      </c>
      <c r="B154" s="28" t="s">
        <v>42</v>
      </c>
      <c r="C154" s="29" t="s">
        <v>43</v>
      </c>
      <c r="D154" s="28" t="s">
        <v>46</v>
      </c>
      <c r="E154" s="29" t="s">
        <v>47</v>
      </c>
      <c r="F154" s="29" t="s">
        <v>48</v>
      </c>
      <c r="G154" s="29" t="s">
        <v>49</v>
      </c>
      <c r="H154" s="29" t="s">
        <v>50</v>
      </c>
      <c r="I154" s="29" t="s">
        <v>51</v>
      </c>
      <c r="J154" s="157" t="s">
        <v>1831</v>
      </c>
    </row>
    <row r="155">
      <c r="A155" s="552" t="s">
        <v>504</v>
      </c>
      <c r="B155" s="175">
        <v>1.30202E7</v>
      </c>
      <c r="C155" s="338" t="b">
        <v>0</v>
      </c>
      <c r="D155" s="27" t="s">
        <v>58</v>
      </c>
      <c r="E155" s="37">
        <v>1.0</v>
      </c>
      <c r="F155" s="470">
        <v>24.0</v>
      </c>
      <c r="G155" s="470" t="s">
        <v>0</v>
      </c>
      <c r="H155" s="485" t="s">
        <v>1811</v>
      </c>
      <c r="I155" s="504" t="s">
        <v>1812</v>
      </c>
      <c r="J155" s="474"/>
    </row>
    <row r="156">
      <c r="A156" s="553" t="s">
        <v>1653</v>
      </c>
      <c r="B156" s="431">
        <v>1.30203E7</v>
      </c>
      <c r="C156" s="338" t="b">
        <v>0</v>
      </c>
      <c r="D156" s="27" t="s">
        <v>71</v>
      </c>
      <c r="E156" s="37">
        <v>1.0</v>
      </c>
      <c r="F156" s="470">
        <v>24.0</v>
      </c>
      <c r="G156" s="470"/>
      <c r="H156" s="485" t="s">
        <v>1835</v>
      </c>
      <c r="I156" s="504" t="s">
        <v>1812</v>
      </c>
      <c r="J156" s="474"/>
    </row>
    <row r="157">
      <c r="A157" s="505" t="s">
        <v>1817</v>
      </c>
      <c r="B157" s="431">
        <v>1.30204E7</v>
      </c>
      <c r="C157" s="338" t="b">
        <v>1</v>
      </c>
      <c r="D157" s="27" t="s">
        <v>82</v>
      </c>
      <c r="E157" s="37">
        <v>1.0</v>
      </c>
      <c r="F157" s="470">
        <v>72.0</v>
      </c>
      <c r="G157" s="470"/>
      <c r="H157" s="485" t="s">
        <v>1839</v>
      </c>
      <c r="I157" s="504" t="s">
        <v>1812</v>
      </c>
      <c r="J157" s="474"/>
    </row>
    <row r="158">
      <c r="A158" s="548" t="s">
        <v>1665</v>
      </c>
      <c r="B158" s="232">
        <v>1.30206E7</v>
      </c>
      <c r="C158" s="338" t="b">
        <v>1</v>
      </c>
      <c r="D158" s="27"/>
      <c r="E158" s="37">
        <v>1.0</v>
      </c>
      <c r="F158" s="43"/>
      <c r="G158" s="43"/>
      <c r="H158" s="485" t="s">
        <v>1839</v>
      </c>
      <c r="I158" s="504" t="s">
        <v>1812</v>
      </c>
      <c r="J158" s="474"/>
    </row>
    <row r="159">
      <c r="A159" s="552" t="s">
        <v>1842</v>
      </c>
      <c r="B159" s="431">
        <v>1.30205E7</v>
      </c>
      <c r="C159" s="338" t="b">
        <v>1</v>
      </c>
      <c r="D159" s="27" t="s">
        <v>96</v>
      </c>
      <c r="E159" s="37">
        <v>2.0</v>
      </c>
      <c r="F159" s="470">
        <v>0.0</v>
      </c>
      <c r="G159" s="43"/>
      <c r="H159" s="485" t="s">
        <v>1636</v>
      </c>
      <c r="I159" s="504" t="s">
        <v>1666</v>
      </c>
      <c r="J159" s="474"/>
    </row>
    <row r="160">
      <c r="A160" s="552" t="s">
        <v>1844</v>
      </c>
      <c r="B160" s="431">
        <v>1.302051E7</v>
      </c>
      <c r="C160" s="338" t="b">
        <v>1</v>
      </c>
      <c r="D160" s="27" t="s">
        <v>96</v>
      </c>
      <c r="E160" s="37">
        <v>2.0</v>
      </c>
      <c r="F160" s="470">
        <v>0.0</v>
      </c>
      <c r="G160" s="470"/>
      <c r="H160" s="485" t="s">
        <v>1636</v>
      </c>
      <c r="I160" s="504" t="s">
        <v>1670</v>
      </c>
      <c r="J160" s="443" t="s">
        <v>1845</v>
      </c>
    </row>
    <row r="161">
      <c r="A161" s="126"/>
      <c r="B161" s="242"/>
      <c r="C161" s="242"/>
      <c r="D161" s="242" t="s">
        <v>101</v>
      </c>
      <c r="E161" s="165">
        <f t="shared" ref="E161:G161" si="11">sum(E155:E160)</f>
        <v>8</v>
      </c>
      <c r="F161" s="165">
        <f t="shared" si="11"/>
        <v>120</v>
      </c>
      <c r="G161" s="165">
        <f t="shared" si="11"/>
        <v>0</v>
      </c>
      <c r="H161" s="482"/>
      <c r="I161" s="210"/>
      <c r="J161" s="474"/>
    </row>
    <row r="162">
      <c r="A162" s="166"/>
      <c r="B162" s="276"/>
      <c r="C162" s="276"/>
      <c r="D162" s="276"/>
      <c r="E162" s="166"/>
      <c r="F162" s="278"/>
      <c r="G162" s="278"/>
      <c r="H162" s="432"/>
      <c r="I162" s="433"/>
      <c r="J162" s="434"/>
    </row>
    <row r="163">
      <c r="A163" s="152" t="s">
        <v>1846</v>
      </c>
      <c r="J163" s="465"/>
    </row>
    <row r="164">
      <c r="A164" s="551" t="s">
        <v>1827</v>
      </c>
      <c r="J164" s="208"/>
    </row>
    <row r="165">
      <c r="A165" s="28" t="s">
        <v>41</v>
      </c>
      <c r="B165" s="28" t="s">
        <v>42</v>
      </c>
      <c r="C165" s="29" t="s">
        <v>43</v>
      </c>
      <c r="D165" s="28" t="s">
        <v>46</v>
      </c>
      <c r="E165" s="29" t="s">
        <v>47</v>
      </c>
      <c r="F165" s="29" t="s">
        <v>48</v>
      </c>
      <c r="G165" s="29" t="s">
        <v>49</v>
      </c>
      <c r="H165" s="29" t="s">
        <v>50</v>
      </c>
      <c r="I165" s="29" t="s">
        <v>51</v>
      </c>
      <c r="J165" s="157" t="s">
        <v>1847</v>
      </c>
    </row>
    <row r="166">
      <c r="A166" s="552" t="s">
        <v>504</v>
      </c>
      <c r="B166" s="175">
        <v>1.30202E7</v>
      </c>
      <c r="C166" s="338" t="b">
        <v>0</v>
      </c>
      <c r="D166" s="27" t="s">
        <v>58</v>
      </c>
      <c r="E166" s="37">
        <v>1.0</v>
      </c>
      <c r="F166" s="470">
        <v>48.0</v>
      </c>
      <c r="G166" s="470"/>
      <c r="H166" s="485" t="s">
        <v>1811</v>
      </c>
      <c r="I166" s="504" t="s">
        <v>1812</v>
      </c>
      <c r="J166" s="474"/>
    </row>
    <row r="167">
      <c r="A167" s="553" t="s">
        <v>1653</v>
      </c>
      <c r="B167" s="431">
        <v>1.30203E7</v>
      </c>
      <c r="C167" s="338" t="b">
        <v>0</v>
      </c>
      <c r="D167" s="27" t="s">
        <v>71</v>
      </c>
      <c r="E167" s="37">
        <v>1.0</v>
      </c>
      <c r="F167" s="470">
        <v>48.0</v>
      </c>
      <c r="G167" s="470"/>
      <c r="H167" s="485" t="s">
        <v>1835</v>
      </c>
      <c r="I167" s="504" t="s">
        <v>1812</v>
      </c>
      <c r="J167" s="474"/>
    </row>
    <row r="168">
      <c r="A168" s="505" t="s">
        <v>1817</v>
      </c>
      <c r="B168" s="431"/>
      <c r="C168" s="338" t="b">
        <v>1</v>
      </c>
      <c r="D168" s="27" t="s">
        <v>82</v>
      </c>
      <c r="E168" s="37">
        <v>1.0</v>
      </c>
      <c r="F168" s="470">
        <v>72.0</v>
      </c>
      <c r="G168" s="470"/>
      <c r="H168" s="485" t="s">
        <v>1839</v>
      </c>
      <c r="I168" s="504" t="s">
        <v>1812</v>
      </c>
      <c r="J168" s="474"/>
    </row>
    <row r="169">
      <c r="A169" s="548" t="s">
        <v>1665</v>
      </c>
      <c r="B169" s="232"/>
      <c r="C169" s="338" t="b">
        <v>1</v>
      </c>
      <c r="D169" s="27"/>
      <c r="E169" s="37">
        <v>1.0</v>
      </c>
      <c r="F169" s="43"/>
      <c r="G169" s="43"/>
      <c r="H169" s="485" t="s">
        <v>1839</v>
      </c>
      <c r="I169" s="504" t="s">
        <v>1812</v>
      </c>
      <c r="J169" s="474"/>
    </row>
    <row r="170">
      <c r="A170" s="553" t="s">
        <v>1849</v>
      </c>
      <c r="B170" s="431">
        <v>1.30205E7</v>
      </c>
      <c r="C170" s="338" t="b">
        <v>1</v>
      </c>
      <c r="D170" s="27" t="s">
        <v>96</v>
      </c>
      <c r="E170" s="37">
        <v>2.0</v>
      </c>
      <c r="F170" s="470">
        <v>0.0</v>
      </c>
      <c r="G170" s="43"/>
      <c r="H170" s="485" t="s">
        <v>1824</v>
      </c>
      <c r="I170" s="504" t="s">
        <v>1825</v>
      </c>
      <c r="J170" s="443"/>
    </row>
    <row r="171">
      <c r="A171" s="553" t="s">
        <v>1850</v>
      </c>
      <c r="B171" s="431">
        <v>1.302051E7</v>
      </c>
      <c r="C171" s="338" t="b">
        <v>1</v>
      </c>
      <c r="D171" s="27" t="s">
        <v>96</v>
      </c>
      <c r="E171" s="37">
        <v>2.0</v>
      </c>
      <c r="F171" s="470">
        <v>0.0</v>
      </c>
      <c r="G171" s="470"/>
      <c r="H171" s="485" t="s">
        <v>1824</v>
      </c>
      <c r="I171" s="504" t="s">
        <v>1825</v>
      </c>
      <c r="J171" s="443" t="s">
        <v>1843</v>
      </c>
    </row>
    <row r="172">
      <c r="A172" s="126"/>
      <c r="B172" s="242"/>
      <c r="C172" s="242"/>
      <c r="D172" s="242" t="s">
        <v>101</v>
      </c>
      <c r="E172" s="165">
        <f t="shared" ref="E172:G172" si="12">sum(E166:E171)</f>
        <v>8</v>
      </c>
      <c r="F172" s="165">
        <f t="shared" si="12"/>
        <v>168</v>
      </c>
      <c r="G172" s="165">
        <f t="shared" si="12"/>
        <v>0</v>
      </c>
      <c r="H172" s="482"/>
      <c r="I172" s="210"/>
      <c r="J172" s="474"/>
    </row>
    <row r="173">
      <c r="A173" s="166"/>
      <c r="B173" s="276"/>
      <c r="C173" s="276"/>
      <c r="D173" s="276"/>
      <c r="E173" s="166"/>
      <c r="F173" s="278"/>
      <c r="G173" s="278"/>
      <c r="H173" s="432"/>
      <c r="I173" s="433"/>
      <c r="J173" s="434"/>
    </row>
    <row r="174">
      <c r="A174" s="152" t="s">
        <v>1855</v>
      </c>
      <c r="J174" s="465"/>
    </row>
    <row r="175">
      <c r="A175" s="551" t="s">
        <v>1856</v>
      </c>
      <c r="J175" s="208"/>
    </row>
    <row r="176">
      <c r="A176" s="28" t="s">
        <v>41</v>
      </c>
      <c r="B176" s="28" t="s">
        <v>42</v>
      </c>
      <c r="C176" s="29" t="s">
        <v>43</v>
      </c>
      <c r="D176" s="28" t="s">
        <v>46</v>
      </c>
      <c r="E176" s="29" t="s">
        <v>47</v>
      </c>
      <c r="F176" s="29" t="s">
        <v>48</v>
      </c>
      <c r="G176" s="29" t="s">
        <v>49</v>
      </c>
      <c r="H176" s="29" t="s">
        <v>50</v>
      </c>
      <c r="I176" s="29" t="s">
        <v>51</v>
      </c>
      <c r="J176" s="157" t="s">
        <v>1857</v>
      </c>
    </row>
    <row r="177">
      <c r="A177" s="552" t="s">
        <v>504</v>
      </c>
      <c r="B177" s="175">
        <v>1.30202E7</v>
      </c>
      <c r="C177" s="338" t="b">
        <v>0</v>
      </c>
      <c r="D177" s="27" t="s">
        <v>58</v>
      </c>
      <c r="E177" s="37">
        <v>1.0</v>
      </c>
      <c r="F177" s="470">
        <v>24.0</v>
      </c>
      <c r="G177" s="470"/>
      <c r="H177" s="485" t="s">
        <v>1811</v>
      </c>
      <c r="I177" s="504" t="s">
        <v>1812</v>
      </c>
      <c r="J177" s="474"/>
    </row>
    <row r="178">
      <c r="A178" s="553" t="s">
        <v>1653</v>
      </c>
      <c r="B178" s="431">
        <v>1.30203E7</v>
      </c>
      <c r="C178" s="338" t="b">
        <v>0</v>
      </c>
      <c r="D178" s="27" t="s">
        <v>71</v>
      </c>
      <c r="E178" s="37">
        <v>1.0</v>
      </c>
      <c r="F178" s="470">
        <v>24.0</v>
      </c>
      <c r="G178" s="470"/>
      <c r="H178" s="485" t="s">
        <v>1835</v>
      </c>
      <c r="I178" s="504" t="s">
        <v>1812</v>
      </c>
      <c r="J178" s="474"/>
    </row>
    <row r="179">
      <c r="A179" s="505" t="s">
        <v>1817</v>
      </c>
      <c r="B179" s="431"/>
      <c r="C179" s="338" t="b">
        <v>1</v>
      </c>
      <c r="D179" s="27" t="s">
        <v>82</v>
      </c>
      <c r="E179" s="37">
        <v>1.0</v>
      </c>
      <c r="F179" s="470">
        <v>72.0</v>
      </c>
      <c r="G179" s="470"/>
      <c r="H179" s="485" t="s">
        <v>1839</v>
      </c>
      <c r="I179" s="504" t="s">
        <v>1812</v>
      </c>
      <c r="J179" s="474"/>
    </row>
    <row r="180">
      <c r="A180" s="548" t="s">
        <v>1665</v>
      </c>
      <c r="B180" s="232"/>
      <c r="C180" s="338" t="b">
        <v>1</v>
      </c>
      <c r="D180" s="27"/>
      <c r="E180" s="37">
        <v>1.0</v>
      </c>
      <c r="F180" s="43"/>
      <c r="G180" s="43"/>
      <c r="H180" s="485" t="s">
        <v>1839</v>
      </c>
      <c r="I180" s="504" t="s">
        <v>1812</v>
      </c>
      <c r="J180" s="474"/>
    </row>
    <row r="181">
      <c r="A181" s="553" t="s">
        <v>1860</v>
      </c>
      <c r="B181" s="431">
        <v>1.30205E7</v>
      </c>
      <c r="C181" s="338" t="b">
        <v>1</v>
      </c>
      <c r="D181" s="27" t="s">
        <v>96</v>
      </c>
      <c r="E181" s="37">
        <v>2.0</v>
      </c>
      <c r="F181" s="470">
        <v>0.0</v>
      </c>
      <c r="G181" s="43"/>
      <c r="H181" s="485" t="s">
        <v>1636</v>
      </c>
      <c r="I181" s="504" t="s">
        <v>1666</v>
      </c>
      <c r="J181" s="474"/>
    </row>
    <row r="182">
      <c r="A182" s="553" t="s">
        <v>1861</v>
      </c>
      <c r="B182" s="431">
        <v>1.302051E7</v>
      </c>
      <c r="C182" s="338" t="b">
        <v>1</v>
      </c>
      <c r="D182" s="27" t="s">
        <v>96</v>
      </c>
      <c r="E182" s="37">
        <v>2.0</v>
      </c>
      <c r="F182" s="470">
        <v>0.0</v>
      </c>
      <c r="G182" s="470"/>
      <c r="H182" s="485" t="s">
        <v>1636</v>
      </c>
      <c r="I182" s="504" t="s">
        <v>1670</v>
      </c>
      <c r="J182" s="443" t="s">
        <v>1863</v>
      </c>
    </row>
    <row r="183">
      <c r="A183" s="126"/>
      <c r="B183" s="242"/>
      <c r="C183" s="242"/>
      <c r="D183" s="242" t="s">
        <v>101</v>
      </c>
      <c r="E183" s="165">
        <f t="shared" ref="E183:G183" si="13">sum(E177:E182)</f>
        <v>8</v>
      </c>
      <c r="F183" s="165">
        <f t="shared" si="13"/>
        <v>120</v>
      </c>
      <c r="G183" s="165">
        <f t="shared" si="13"/>
        <v>0</v>
      </c>
      <c r="H183" s="482"/>
      <c r="I183" s="210"/>
      <c r="J183" s="474"/>
    </row>
    <row r="184">
      <c r="A184" s="166"/>
      <c r="B184" s="276"/>
      <c r="C184" s="276"/>
      <c r="D184" s="276"/>
      <c r="E184" s="166"/>
      <c r="F184" s="278"/>
      <c r="G184" s="278"/>
      <c r="H184" s="432"/>
      <c r="I184" s="433"/>
      <c r="J184" s="434"/>
    </row>
    <row r="185">
      <c r="A185" s="152" t="s">
        <v>1867</v>
      </c>
      <c r="J185" s="465"/>
    </row>
    <row r="186">
      <c r="A186" s="538" t="s">
        <v>1868</v>
      </c>
      <c r="J186" s="208"/>
    </row>
    <row r="187">
      <c r="A187" s="28" t="s">
        <v>41</v>
      </c>
      <c r="B187" s="28" t="s">
        <v>42</v>
      </c>
      <c r="C187" s="29" t="s">
        <v>43</v>
      </c>
      <c r="D187" s="28" t="s">
        <v>46</v>
      </c>
      <c r="E187" s="29" t="s">
        <v>47</v>
      </c>
      <c r="F187" s="29" t="s">
        <v>48</v>
      </c>
      <c r="G187" s="29" t="s">
        <v>49</v>
      </c>
      <c r="H187" s="29" t="s">
        <v>50</v>
      </c>
      <c r="I187" s="29" t="s">
        <v>51</v>
      </c>
      <c r="J187" s="157" t="s">
        <v>1869</v>
      </c>
    </row>
    <row r="188">
      <c r="A188" s="508" t="s">
        <v>197</v>
      </c>
      <c r="B188" s="492">
        <v>1.302255E7</v>
      </c>
      <c r="C188" s="555" t="b">
        <v>0</v>
      </c>
      <c r="D188" s="69" t="s">
        <v>58</v>
      </c>
      <c r="E188" s="555">
        <v>1.0</v>
      </c>
      <c r="F188" s="556">
        <v>0.0</v>
      </c>
      <c r="G188" s="556"/>
      <c r="H188" s="485"/>
      <c r="I188" s="504"/>
      <c r="J188" s="558"/>
    </row>
    <row r="189">
      <c r="A189" s="508" t="s">
        <v>194</v>
      </c>
      <c r="B189" s="559">
        <v>1.30226E7</v>
      </c>
      <c r="C189" s="555" t="b">
        <v>0</v>
      </c>
      <c r="D189" s="69" t="s">
        <v>71</v>
      </c>
      <c r="E189" s="555">
        <v>2.0</v>
      </c>
      <c r="F189" s="556">
        <v>15.0</v>
      </c>
      <c r="G189" s="560">
        <v>8.0</v>
      </c>
      <c r="H189" s="485" t="s">
        <v>1872</v>
      </c>
      <c r="I189" s="504" t="s">
        <v>1874</v>
      </c>
      <c r="J189" s="485" t="s">
        <v>1875</v>
      </c>
    </row>
    <row r="190">
      <c r="A190" s="508" t="s">
        <v>204</v>
      </c>
      <c r="B190" s="559">
        <v>1.302265E7</v>
      </c>
      <c r="C190" s="555" t="b">
        <v>1</v>
      </c>
      <c r="D190" s="69" t="s">
        <v>82</v>
      </c>
      <c r="E190" s="555">
        <v>2.0</v>
      </c>
      <c r="F190" s="556">
        <v>15.0</v>
      </c>
      <c r="G190" s="560">
        <v>5.0</v>
      </c>
      <c r="H190" s="485" t="s">
        <v>1872</v>
      </c>
      <c r="I190" s="504" t="s">
        <v>1874</v>
      </c>
      <c r="J190" s="485" t="s">
        <v>1875</v>
      </c>
    </row>
    <row r="191">
      <c r="A191" s="508" t="s">
        <v>211</v>
      </c>
      <c r="B191" s="559">
        <v>1.30227E7</v>
      </c>
      <c r="C191" s="555" t="b">
        <v>0</v>
      </c>
      <c r="D191" s="69" t="s">
        <v>96</v>
      </c>
      <c r="E191" s="555">
        <v>2.0</v>
      </c>
      <c r="F191" s="556">
        <v>15.0</v>
      </c>
      <c r="G191" s="560">
        <v>3.0</v>
      </c>
      <c r="H191" s="485" t="s">
        <v>1872</v>
      </c>
      <c r="I191" s="504" t="s">
        <v>1874</v>
      </c>
      <c r="J191" s="485" t="s">
        <v>1875</v>
      </c>
    </row>
    <row r="192">
      <c r="A192" s="494" t="s">
        <v>1876</v>
      </c>
      <c r="B192" s="561">
        <v>1.302271E7</v>
      </c>
      <c r="C192" s="555" t="b">
        <v>0</v>
      </c>
      <c r="D192" s="69" t="s">
        <v>96</v>
      </c>
      <c r="E192" s="555">
        <v>2.0</v>
      </c>
      <c r="F192" s="556">
        <v>15.0</v>
      </c>
      <c r="G192" s="560">
        <v>1.0</v>
      </c>
      <c r="H192" s="485" t="s">
        <v>1872</v>
      </c>
      <c r="I192" s="504" t="s">
        <v>1874</v>
      </c>
      <c r="J192" s="485" t="s">
        <v>1875</v>
      </c>
    </row>
    <row r="193">
      <c r="A193" s="126"/>
      <c r="B193" s="242"/>
      <c r="C193" s="242"/>
      <c r="D193" s="242" t="s">
        <v>101</v>
      </c>
      <c r="E193" s="165">
        <f t="shared" ref="E193:G193" si="14">sum(E188:E192)</f>
        <v>9</v>
      </c>
      <c r="F193" s="165">
        <f t="shared" si="14"/>
        <v>60</v>
      </c>
      <c r="G193" s="165">
        <f t="shared" si="14"/>
        <v>17</v>
      </c>
      <c r="H193" s="482"/>
      <c r="I193" s="210"/>
      <c r="J193" s="474"/>
    </row>
    <row r="194">
      <c r="A194" s="166"/>
      <c r="B194" s="276"/>
      <c r="C194" s="276"/>
      <c r="D194" s="276"/>
      <c r="E194" s="166"/>
      <c r="F194" s="278"/>
      <c r="G194" s="278"/>
      <c r="H194" s="432"/>
      <c r="I194" s="433"/>
      <c r="J194" s="434"/>
    </row>
    <row r="195">
      <c r="A195" s="152" t="s">
        <v>1881</v>
      </c>
      <c r="J195" s="465"/>
    </row>
    <row r="196">
      <c r="A196" s="563" t="s">
        <v>1882</v>
      </c>
      <c r="J196" s="208"/>
    </row>
    <row r="197">
      <c r="A197" s="28" t="s">
        <v>41</v>
      </c>
      <c r="B197" s="28" t="s">
        <v>42</v>
      </c>
      <c r="C197" s="29" t="s">
        <v>43</v>
      </c>
      <c r="D197" s="28" t="s">
        <v>46</v>
      </c>
      <c r="E197" s="29" t="s">
        <v>47</v>
      </c>
      <c r="F197" s="29" t="s">
        <v>48</v>
      </c>
      <c r="G197" s="29" t="s">
        <v>49</v>
      </c>
      <c r="H197" s="29" t="s">
        <v>50</v>
      </c>
      <c r="I197" s="29" t="s">
        <v>51</v>
      </c>
      <c r="J197" s="157" t="s">
        <v>1883</v>
      </c>
    </row>
    <row r="198">
      <c r="A198" s="508" t="s">
        <v>1678</v>
      </c>
      <c r="B198" s="202">
        <v>1.30322E7</v>
      </c>
      <c r="C198" s="338" t="b">
        <v>1</v>
      </c>
      <c r="D198" s="27" t="s">
        <v>58</v>
      </c>
      <c r="E198" s="338">
        <v>1.0</v>
      </c>
      <c r="F198" s="470">
        <v>0.0</v>
      </c>
      <c r="G198" s="470"/>
      <c r="H198" s="485" t="s">
        <v>1884</v>
      </c>
      <c r="I198" s="504" t="s">
        <v>1030</v>
      </c>
      <c r="J198" s="443"/>
    </row>
    <row r="199">
      <c r="A199" s="508" t="s">
        <v>1885</v>
      </c>
      <c r="B199" s="510">
        <v>1.3037E7</v>
      </c>
      <c r="C199" s="338" t="b">
        <v>1</v>
      </c>
      <c r="D199" s="27" t="s">
        <v>71</v>
      </c>
      <c r="E199" s="338">
        <v>1.0</v>
      </c>
      <c r="F199" s="470">
        <v>30.0</v>
      </c>
      <c r="G199" s="470"/>
      <c r="H199" s="485" t="s">
        <v>1884</v>
      </c>
      <c r="I199" s="504" t="s">
        <v>1030</v>
      </c>
      <c r="J199" s="443"/>
    </row>
    <row r="200">
      <c r="A200" s="508" t="s">
        <v>1602</v>
      </c>
      <c r="B200" s="510">
        <v>1.303705E7</v>
      </c>
      <c r="C200" s="338" t="b">
        <v>1</v>
      </c>
      <c r="D200" s="27" t="s">
        <v>82</v>
      </c>
      <c r="E200" s="338">
        <v>1.0</v>
      </c>
      <c r="F200" s="470">
        <v>0.0</v>
      </c>
      <c r="G200" s="470"/>
      <c r="H200" s="485"/>
      <c r="I200" s="504" t="s">
        <v>88</v>
      </c>
      <c r="J200" s="443"/>
    </row>
    <row r="201">
      <c r="A201" s="508" t="s">
        <v>1886</v>
      </c>
      <c r="B201" s="510">
        <v>1.3033E7</v>
      </c>
      <c r="C201" s="338" t="b">
        <v>1</v>
      </c>
      <c r="D201" s="27" t="s">
        <v>96</v>
      </c>
      <c r="E201" s="338">
        <v>2.0</v>
      </c>
      <c r="F201" s="470">
        <v>0.0</v>
      </c>
      <c r="G201" s="470"/>
      <c r="H201" s="485"/>
      <c r="I201" s="504" t="s">
        <v>88</v>
      </c>
      <c r="J201" s="474"/>
    </row>
    <row r="202">
      <c r="A202" s="126"/>
      <c r="B202" s="242"/>
      <c r="C202" s="242"/>
      <c r="D202" s="242" t="s">
        <v>101</v>
      </c>
      <c r="E202" s="165">
        <f t="shared" ref="E202:G202" si="15">sum(E198:E201)</f>
        <v>5</v>
      </c>
      <c r="F202" s="165">
        <f t="shared" si="15"/>
        <v>30</v>
      </c>
      <c r="G202" s="165">
        <f t="shared" si="15"/>
        <v>0</v>
      </c>
      <c r="H202" s="482"/>
      <c r="I202" s="210"/>
      <c r="J202" s="474"/>
    </row>
    <row r="203">
      <c r="A203" s="166"/>
      <c r="B203" s="276"/>
      <c r="C203" s="276"/>
      <c r="D203" s="276"/>
      <c r="E203" s="166"/>
      <c r="F203" s="278"/>
      <c r="G203" s="278"/>
      <c r="H203" s="432"/>
      <c r="I203" s="433"/>
      <c r="J203" s="434"/>
    </row>
    <row r="204" ht="15.0" customHeight="1">
      <c r="A204" s="564" t="s">
        <v>1890</v>
      </c>
      <c r="J204" s="465"/>
    </row>
    <row r="205">
      <c r="A205" s="565" t="s">
        <v>1891</v>
      </c>
      <c r="I205" s="423"/>
      <c r="J205" s="208"/>
    </row>
    <row r="206">
      <c r="A206" s="28" t="s">
        <v>41</v>
      </c>
      <c r="B206" s="28" t="s">
        <v>42</v>
      </c>
      <c r="C206" s="29" t="s">
        <v>43</v>
      </c>
      <c r="D206" s="28" t="s">
        <v>46</v>
      </c>
      <c r="E206" s="29" t="s">
        <v>47</v>
      </c>
      <c r="F206" s="29" t="s">
        <v>48</v>
      </c>
      <c r="G206" s="29" t="s">
        <v>49</v>
      </c>
      <c r="H206" s="29" t="s">
        <v>50</v>
      </c>
      <c r="I206" s="29" t="s">
        <v>51</v>
      </c>
      <c r="J206" s="157" t="s">
        <v>1893</v>
      </c>
    </row>
    <row r="207">
      <c r="A207" s="323" t="s">
        <v>1499</v>
      </c>
      <c r="B207" s="27">
        <v>1.300422E7</v>
      </c>
      <c r="C207" s="338" t="b">
        <v>0</v>
      </c>
      <c r="D207" s="27" t="s">
        <v>58</v>
      </c>
      <c r="E207" s="37">
        <v>1.0</v>
      </c>
      <c r="F207" s="470">
        <v>25.0</v>
      </c>
      <c r="G207" s="470"/>
      <c r="H207" s="238" t="s">
        <v>1614</v>
      </c>
      <c r="I207" s="232" t="s">
        <v>1456</v>
      </c>
      <c r="J207" s="443" t="s">
        <v>1896</v>
      </c>
    </row>
    <row r="208">
      <c r="A208" s="323" t="s">
        <v>1897</v>
      </c>
      <c r="B208" s="106">
        <v>1.30054E7</v>
      </c>
      <c r="C208" s="338" t="b">
        <v>1</v>
      </c>
      <c r="D208" s="27" t="s">
        <v>71</v>
      </c>
      <c r="E208" s="37">
        <v>2.0</v>
      </c>
      <c r="F208" s="470">
        <v>5.0</v>
      </c>
      <c r="G208" s="470"/>
      <c r="H208" s="238" t="s">
        <v>1614</v>
      </c>
      <c r="I208" s="232" t="s">
        <v>1456</v>
      </c>
      <c r="J208" s="443" t="s">
        <v>1898</v>
      </c>
    </row>
    <row r="209">
      <c r="A209" s="323" t="s">
        <v>1899</v>
      </c>
      <c r="B209" s="106">
        <v>1.30055E7</v>
      </c>
      <c r="C209" s="338" t="b">
        <v>1</v>
      </c>
      <c r="D209" s="27" t="s">
        <v>82</v>
      </c>
      <c r="E209" s="37">
        <v>2.0</v>
      </c>
      <c r="F209" s="470">
        <v>0.0</v>
      </c>
      <c r="G209" s="470"/>
      <c r="H209" s="238" t="s">
        <v>1614</v>
      </c>
      <c r="I209" s="232" t="s">
        <v>1456</v>
      </c>
      <c r="J209" s="443"/>
    </row>
    <row r="210">
      <c r="A210" s="296" t="s">
        <v>1900</v>
      </c>
      <c r="B210" s="106">
        <v>1.30062E7</v>
      </c>
      <c r="C210" s="338" t="b">
        <v>1</v>
      </c>
      <c r="D210" s="27" t="s">
        <v>96</v>
      </c>
      <c r="E210" s="37">
        <v>2.0</v>
      </c>
      <c r="F210" s="470">
        <v>0.0</v>
      </c>
      <c r="G210" s="470"/>
      <c r="H210" s="238" t="s">
        <v>1636</v>
      </c>
      <c r="I210" s="232" t="s">
        <v>1666</v>
      </c>
      <c r="J210" s="474"/>
    </row>
    <row r="211">
      <c r="A211" s="126"/>
      <c r="B211" s="242"/>
      <c r="C211" s="242"/>
      <c r="D211" s="242" t="s">
        <v>101</v>
      </c>
      <c r="E211" s="165">
        <f>sum(E208:E210)</f>
        <v>6</v>
      </c>
      <c r="F211" s="165">
        <f t="shared" ref="F211:G211" si="16">SUM(F207:F210)</f>
        <v>30</v>
      </c>
      <c r="G211" s="165">
        <f t="shared" si="16"/>
        <v>0</v>
      </c>
      <c r="H211" s="482"/>
      <c r="I211" s="210"/>
      <c r="J211" s="474"/>
    </row>
    <row r="212">
      <c r="A212" s="166"/>
      <c r="B212" s="276"/>
      <c r="C212" s="276"/>
      <c r="D212" s="276"/>
      <c r="E212" s="166"/>
      <c r="F212" s="278"/>
      <c r="G212" s="278"/>
      <c r="H212" s="432"/>
      <c r="I212" s="433"/>
      <c r="J212" s="434"/>
    </row>
  </sheetData>
  <mergeCells count="56">
    <mergeCell ref="D125:D126"/>
    <mergeCell ref="E125:E126"/>
    <mergeCell ref="F125:F126"/>
    <mergeCell ref="A129:I129"/>
    <mergeCell ref="A130:I130"/>
    <mergeCell ref="A141:I141"/>
    <mergeCell ref="A142:I142"/>
    <mergeCell ref="A152:I152"/>
    <mergeCell ref="A153:I153"/>
    <mergeCell ref="A1:I1"/>
    <mergeCell ref="B2:I2"/>
    <mergeCell ref="J2:J3"/>
    <mergeCell ref="B3:I3"/>
    <mergeCell ref="B4:I4"/>
    <mergeCell ref="B5:I5"/>
    <mergeCell ref="J5:J6"/>
    <mergeCell ref="B6:I6"/>
    <mergeCell ref="B7:I7"/>
    <mergeCell ref="A9:I9"/>
    <mergeCell ref="A10:I10"/>
    <mergeCell ref="A18:I18"/>
    <mergeCell ref="A19:I19"/>
    <mergeCell ref="A27:I27"/>
    <mergeCell ref="A28:I28"/>
    <mergeCell ref="A36:I36"/>
    <mergeCell ref="A37:I37"/>
    <mergeCell ref="A45:I45"/>
    <mergeCell ref="A46:I46"/>
    <mergeCell ref="A54:I54"/>
    <mergeCell ref="A55:I55"/>
    <mergeCell ref="A66:I66"/>
    <mergeCell ref="A67:I67"/>
    <mergeCell ref="A79:I79"/>
    <mergeCell ref="A80:I80"/>
    <mergeCell ref="A88:I88"/>
    <mergeCell ref="A89:I89"/>
    <mergeCell ref="A99:I99"/>
    <mergeCell ref="B125:B126"/>
    <mergeCell ref="C125:C126"/>
    <mergeCell ref="A100:I100"/>
    <mergeCell ref="A107:I107"/>
    <mergeCell ref="A108:I108"/>
    <mergeCell ref="A116:I116"/>
    <mergeCell ref="A117:I117"/>
    <mergeCell ref="J124:J125"/>
    <mergeCell ref="A125:A126"/>
    <mergeCell ref="A196:I196"/>
    <mergeCell ref="A204:I204"/>
    <mergeCell ref="A205:I205"/>
    <mergeCell ref="A163:I163"/>
    <mergeCell ref="A164:I164"/>
    <mergeCell ref="A174:I174"/>
    <mergeCell ref="A175:I175"/>
    <mergeCell ref="A185:I185"/>
    <mergeCell ref="A186:I186"/>
    <mergeCell ref="A195:I195"/>
  </mergeCells>
  <dataValidations>
    <dataValidation type="list" allowBlank="1" sqref="D12:D15 D21:D24 D30:D33 D39:D42 D48:D51 D57:D63 D69:D76 D82:D85 D91:D96 D102:D104 D110:D113 D119:D125 D132:D138 D144:D149 D155:D160 D166:D171 D177:D182 D188:D192 D198:D201 D207:D210">
      <formula1>'Data Validation'!$A$2:$A$5</formula1>
    </dataValidation>
    <dataValidation type="list" allowBlank="1" sqref="E12:E15 E21:E24 E30:E33 E39:E42 E48:E51 E57:E63 E69:E76 E82:E85 E91:E96 E102:E104 E110:E113 E119:E125 E132:E138 E144:E149 E155:E160 E166:E171 E177:E182 E207:E210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17128027681660898" footer="0.0" header="0.0" left="0.08564013840830449" right="0.11" top="0.6"/>
  <pageSetup fitToHeight="0" cellComments="atEnd" orientation="landscape" pageOrder="overThenDown"/>
  <drawing r:id="rId4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8.25"/>
    <col customWidth="1" min="9" max="9" width="29.88"/>
    <col customWidth="1" min="10" max="10" width="73.13"/>
  </cols>
  <sheetData>
    <row r="1" ht="66.75" customHeight="1">
      <c r="A1" s="404" t="s">
        <v>1479</v>
      </c>
      <c r="J1" s="2" t="s">
        <v>1</v>
      </c>
    </row>
    <row r="2">
      <c r="A2" s="408" t="s">
        <v>2</v>
      </c>
      <c r="B2" s="19" t="s">
        <v>293</v>
      </c>
      <c r="J2" s="412" t="s">
        <v>6</v>
      </c>
    </row>
    <row r="3">
      <c r="A3" s="408" t="s">
        <v>14</v>
      </c>
      <c r="B3" s="19" t="s">
        <v>1483</v>
      </c>
    </row>
    <row r="4">
      <c r="A4" s="408" t="s">
        <v>1475</v>
      </c>
      <c r="B4" s="19" t="s">
        <v>1476</v>
      </c>
      <c r="J4" s="415" t="s">
        <v>20</v>
      </c>
    </row>
    <row r="5">
      <c r="A5" s="408" t="s">
        <v>26</v>
      </c>
      <c r="B5" s="19">
        <v>20.0</v>
      </c>
      <c r="J5" s="417" t="s">
        <v>30</v>
      </c>
    </row>
    <row r="6">
      <c r="A6" s="408" t="s">
        <v>34</v>
      </c>
      <c r="B6" s="19"/>
    </row>
    <row r="7">
      <c r="A7" s="408" t="s">
        <v>36</v>
      </c>
      <c r="B7" s="349" t="s">
        <v>1478</v>
      </c>
      <c r="J7" s="418"/>
    </row>
    <row r="8" ht="7.5" customHeight="1">
      <c r="A8" s="213"/>
      <c r="B8" s="419"/>
      <c r="C8" s="23"/>
      <c r="D8" s="23"/>
      <c r="E8" s="25"/>
      <c r="F8" s="419"/>
      <c r="G8" s="419"/>
      <c r="H8" s="419"/>
      <c r="I8" s="407"/>
      <c r="J8" s="421"/>
    </row>
    <row r="9" ht="18.75" customHeight="1">
      <c r="A9" s="322" t="s">
        <v>38</v>
      </c>
      <c r="J9" s="26"/>
    </row>
    <row r="10" ht="18.75" customHeight="1">
      <c r="A10" s="422" t="s">
        <v>1496</v>
      </c>
      <c r="I10" s="423"/>
      <c r="J10" s="101"/>
    </row>
    <row r="11">
      <c r="A11" s="424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29" t="s">
        <v>1498</v>
      </c>
    </row>
    <row r="12" ht="84.0" customHeight="1">
      <c r="A12" s="425" t="s">
        <v>1499</v>
      </c>
      <c r="B12" s="27">
        <v>1.300422E7</v>
      </c>
      <c r="C12" s="34" t="b">
        <v>0</v>
      </c>
      <c r="D12" s="27" t="s">
        <v>58</v>
      </c>
      <c r="E12" s="37">
        <v>1.0</v>
      </c>
      <c r="F12" s="37">
        <v>440.0</v>
      </c>
      <c r="G12" s="37">
        <v>203.0</v>
      </c>
      <c r="H12" s="37" t="s">
        <v>1503</v>
      </c>
      <c r="I12" s="37" t="s">
        <v>1504</v>
      </c>
      <c r="J12" s="45" t="s">
        <v>1505</v>
      </c>
    </row>
    <row r="13">
      <c r="A13" s="425" t="s">
        <v>1506</v>
      </c>
      <c r="B13" s="27">
        <v>1.30051E7</v>
      </c>
      <c r="C13" s="27" t="b">
        <v>0</v>
      </c>
      <c r="D13" s="27" t="s">
        <v>71</v>
      </c>
      <c r="E13" s="37">
        <v>2.0</v>
      </c>
      <c r="F13" s="37">
        <v>105.0</v>
      </c>
      <c r="G13" s="37">
        <v>157.0</v>
      </c>
      <c r="H13" s="37" t="s">
        <v>1507</v>
      </c>
      <c r="I13" s="37" t="s">
        <v>1508</v>
      </c>
      <c r="J13" s="45" t="s">
        <v>1509</v>
      </c>
    </row>
    <row r="14">
      <c r="A14" s="425" t="s">
        <v>1491</v>
      </c>
      <c r="B14" s="27">
        <v>1.30052E7</v>
      </c>
      <c r="C14" s="27" t="b">
        <v>1</v>
      </c>
      <c r="D14" s="27" t="s">
        <v>82</v>
      </c>
      <c r="E14" s="37">
        <v>2.0</v>
      </c>
      <c r="F14" s="37">
        <v>60.0</v>
      </c>
      <c r="G14" s="37">
        <v>58.0</v>
      </c>
      <c r="H14" s="37" t="s">
        <v>1511</v>
      </c>
      <c r="I14" s="37" t="s">
        <v>1512</v>
      </c>
      <c r="J14" s="45" t="s">
        <v>1514</v>
      </c>
    </row>
    <row r="15">
      <c r="A15" s="425" t="s">
        <v>1494</v>
      </c>
      <c r="B15" s="27">
        <v>1.300525E7</v>
      </c>
      <c r="C15" s="27" t="b">
        <v>1</v>
      </c>
      <c r="D15" s="27" t="s">
        <v>96</v>
      </c>
      <c r="E15" s="37">
        <v>2.0</v>
      </c>
      <c r="F15" s="37">
        <v>30.0</v>
      </c>
      <c r="G15" s="37">
        <v>42.0</v>
      </c>
      <c r="H15" s="37" t="s">
        <v>1515</v>
      </c>
      <c r="I15" s="37" t="s">
        <v>1512</v>
      </c>
      <c r="J15" s="426"/>
    </row>
    <row r="16">
      <c r="A16" s="327"/>
      <c r="B16" s="426"/>
      <c r="C16" s="52"/>
      <c r="D16" s="52" t="s">
        <v>101</v>
      </c>
      <c r="E16" s="54">
        <f t="shared" ref="E16:G16" si="1">sum(E12:E15)</f>
        <v>7</v>
      </c>
      <c r="F16" s="403">
        <f t="shared" si="1"/>
        <v>635</v>
      </c>
      <c r="G16" s="403">
        <f t="shared" si="1"/>
        <v>460</v>
      </c>
      <c r="H16" s="403"/>
      <c r="I16" s="403"/>
      <c r="J16" s="427"/>
    </row>
    <row r="17" ht="7.5" customHeight="1">
      <c r="A17" s="213"/>
      <c r="B17" s="419"/>
      <c r="C17" s="23"/>
      <c r="D17" s="23"/>
      <c r="E17" s="25"/>
      <c r="F17" s="419"/>
      <c r="G17" s="419"/>
      <c r="H17" s="419"/>
      <c r="I17" s="407"/>
      <c r="J17" s="421"/>
    </row>
    <row r="18" ht="18.75" customHeight="1">
      <c r="A18" s="322" t="s">
        <v>135</v>
      </c>
      <c r="J18" s="26"/>
    </row>
    <row r="19" ht="18.75" customHeight="1">
      <c r="A19" s="422" t="s">
        <v>1522</v>
      </c>
      <c r="I19" s="423"/>
      <c r="J19" s="101"/>
    </row>
    <row r="20">
      <c r="A20" s="424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29" t="s">
        <v>1523</v>
      </c>
    </row>
    <row r="21">
      <c r="A21" s="425" t="s">
        <v>1499</v>
      </c>
      <c r="B21" s="27">
        <v>1.300422E7</v>
      </c>
      <c r="C21" s="34" t="b">
        <v>0</v>
      </c>
      <c r="D21" s="27" t="s">
        <v>58</v>
      </c>
      <c r="E21" s="37">
        <v>1.0</v>
      </c>
      <c r="F21" s="37">
        <f>F12</f>
        <v>440</v>
      </c>
      <c r="G21" s="37">
        <v>25.0</v>
      </c>
      <c r="H21" s="37" t="s">
        <v>1503</v>
      </c>
      <c r="I21" s="37" t="s">
        <v>1504</v>
      </c>
      <c r="J21" s="428" t="s">
        <v>1526</v>
      </c>
    </row>
    <row r="22">
      <c r="A22" s="425" t="s">
        <v>1527</v>
      </c>
      <c r="B22" s="27">
        <v>1.3006E7</v>
      </c>
      <c r="C22" s="34" t="b">
        <v>0</v>
      </c>
      <c r="D22" s="27" t="s">
        <v>71</v>
      </c>
      <c r="E22" s="37">
        <v>1.0</v>
      </c>
      <c r="F22" s="37">
        <v>45.0</v>
      </c>
      <c r="G22" s="37">
        <v>15.0</v>
      </c>
      <c r="H22" s="37" t="s">
        <v>1529</v>
      </c>
      <c r="I22" s="37" t="s">
        <v>76</v>
      </c>
      <c r="J22" s="45" t="s">
        <v>1530</v>
      </c>
    </row>
    <row r="23">
      <c r="A23" s="425" t="s">
        <v>1531</v>
      </c>
      <c r="B23" s="27">
        <v>1.30061E7</v>
      </c>
      <c r="C23" s="27" t="b">
        <v>1</v>
      </c>
      <c r="D23" s="27" t="s">
        <v>82</v>
      </c>
      <c r="E23" s="37">
        <v>2.0</v>
      </c>
      <c r="F23" s="37">
        <v>20.0</v>
      </c>
      <c r="G23" s="37">
        <v>18.0</v>
      </c>
      <c r="H23" s="37" t="s">
        <v>1529</v>
      </c>
      <c r="I23" s="37" t="s">
        <v>76</v>
      </c>
      <c r="J23" s="45" t="s">
        <v>1534</v>
      </c>
    </row>
    <row r="24">
      <c r="A24" s="429" t="s">
        <v>1494</v>
      </c>
      <c r="B24" s="27">
        <v>1.300525E7</v>
      </c>
      <c r="C24" s="27" t="b">
        <v>1</v>
      </c>
      <c r="D24" s="27" t="s">
        <v>96</v>
      </c>
      <c r="E24" s="37">
        <v>2.0</v>
      </c>
      <c r="F24" s="37">
        <v>10.0</v>
      </c>
      <c r="G24" s="37">
        <v>11.0</v>
      </c>
      <c r="H24" s="37" t="s">
        <v>1529</v>
      </c>
      <c r="I24" s="37" t="s">
        <v>76</v>
      </c>
      <c r="J24" s="426"/>
    </row>
    <row r="25">
      <c r="A25" s="327"/>
      <c r="B25" s="426"/>
      <c r="C25" s="52"/>
      <c r="D25" s="52" t="s">
        <v>101</v>
      </c>
      <c r="E25" s="54">
        <f t="shared" ref="E25:G25" si="2">sum(E21:E24)</f>
        <v>6</v>
      </c>
      <c r="F25" s="403">
        <f t="shared" si="2"/>
        <v>515</v>
      </c>
      <c r="G25" s="403">
        <f t="shared" si="2"/>
        <v>69</v>
      </c>
      <c r="H25" s="403"/>
      <c r="I25" s="403"/>
      <c r="J25" s="427"/>
    </row>
    <row r="26" ht="7.5" customHeight="1">
      <c r="A26" s="213"/>
      <c r="B26" s="419"/>
      <c r="C26" s="23"/>
      <c r="D26" s="23"/>
      <c r="E26" s="25"/>
      <c r="F26" s="419"/>
      <c r="G26" s="419"/>
      <c r="H26" s="419"/>
      <c r="I26" s="407"/>
      <c r="J26" s="421"/>
    </row>
    <row r="27" ht="18.75" customHeight="1">
      <c r="A27" s="322" t="s">
        <v>111</v>
      </c>
      <c r="J27" s="26"/>
    </row>
    <row r="28" ht="18.75" customHeight="1">
      <c r="A28" s="422" t="s">
        <v>1524</v>
      </c>
      <c r="I28" s="423"/>
      <c r="J28" s="101"/>
    </row>
    <row r="29">
      <c r="A29" s="424" t="s">
        <v>41</v>
      </c>
      <c r="B29" s="28" t="s">
        <v>42</v>
      </c>
      <c r="C29" s="29" t="s">
        <v>43</v>
      </c>
      <c r="D29" s="28" t="s">
        <v>46</v>
      </c>
      <c r="E29" s="29" t="s">
        <v>47</v>
      </c>
      <c r="F29" s="29" t="s">
        <v>48</v>
      </c>
      <c r="G29" s="29" t="s">
        <v>49</v>
      </c>
      <c r="H29" s="29" t="s">
        <v>50</v>
      </c>
      <c r="I29" s="29" t="s">
        <v>51</v>
      </c>
      <c r="J29" s="29" t="s">
        <v>1541</v>
      </c>
    </row>
    <row r="30">
      <c r="A30" s="429" t="s">
        <v>1502</v>
      </c>
      <c r="B30" s="27">
        <v>1.300422E7</v>
      </c>
      <c r="C30" s="34" t="b">
        <v>0</v>
      </c>
      <c r="D30" s="27" t="s">
        <v>58</v>
      </c>
      <c r="E30" s="37">
        <v>1.0</v>
      </c>
      <c r="F30" s="37">
        <f>F21</f>
        <v>440</v>
      </c>
      <c r="G30" s="37">
        <v>58.0</v>
      </c>
      <c r="H30" s="37" t="s">
        <v>1503</v>
      </c>
      <c r="I30" s="37" t="s">
        <v>1504</v>
      </c>
      <c r="J30" s="67" t="s">
        <v>1486</v>
      </c>
    </row>
    <row r="31">
      <c r="A31" s="425" t="s">
        <v>1543</v>
      </c>
      <c r="B31" s="27">
        <v>1.30058E7</v>
      </c>
      <c r="C31" s="34" t="b">
        <v>0</v>
      </c>
      <c r="D31" s="27" t="s">
        <v>71</v>
      </c>
      <c r="E31" s="37">
        <v>1.0</v>
      </c>
      <c r="F31" s="37">
        <v>45.0</v>
      </c>
      <c r="G31" s="37">
        <v>27.0</v>
      </c>
      <c r="H31" s="37" t="s">
        <v>1544</v>
      </c>
      <c r="I31" s="37" t="s">
        <v>88</v>
      </c>
      <c r="J31" s="67" t="s">
        <v>1545</v>
      </c>
    </row>
    <row r="32">
      <c r="A32" s="425" t="s">
        <v>1546</v>
      </c>
      <c r="B32" s="27">
        <v>1.30059E7</v>
      </c>
      <c r="C32" s="27" t="b">
        <v>1</v>
      </c>
      <c r="D32" s="27" t="s">
        <v>82</v>
      </c>
      <c r="E32" s="37">
        <v>2.0</v>
      </c>
      <c r="F32" s="37">
        <v>10.0</v>
      </c>
      <c r="G32" s="37">
        <v>19.0</v>
      </c>
      <c r="H32" s="37" t="s">
        <v>1544</v>
      </c>
      <c r="I32" s="37" t="s">
        <v>88</v>
      </c>
      <c r="J32" s="67" t="s">
        <v>1549</v>
      </c>
    </row>
    <row r="33">
      <c r="A33" s="429" t="s">
        <v>1494</v>
      </c>
      <c r="B33" s="27">
        <v>1.300525E7</v>
      </c>
      <c r="C33" s="27" t="b">
        <v>1</v>
      </c>
      <c r="D33" s="27" t="s">
        <v>96</v>
      </c>
      <c r="E33" s="37">
        <v>2.0</v>
      </c>
      <c r="F33" s="37">
        <v>5.0</v>
      </c>
      <c r="G33" s="37">
        <v>5.0</v>
      </c>
      <c r="H33" s="37" t="s">
        <v>1544</v>
      </c>
      <c r="I33" s="37" t="s">
        <v>88</v>
      </c>
      <c r="J33" s="174" t="s">
        <v>1521</v>
      </c>
    </row>
    <row r="34">
      <c r="A34" s="327"/>
      <c r="B34" s="426"/>
      <c r="C34" s="52"/>
      <c r="D34" s="52" t="s">
        <v>101</v>
      </c>
      <c r="E34" s="54">
        <f t="shared" ref="E34:G34" si="3">sum(E30:E33)</f>
        <v>6</v>
      </c>
      <c r="F34" s="403">
        <f t="shared" si="3"/>
        <v>500</v>
      </c>
      <c r="G34" s="403">
        <f t="shared" si="3"/>
        <v>109</v>
      </c>
      <c r="H34" s="403"/>
      <c r="I34" s="403"/>
      <c r="J34" s="427"/>
    </row>
    <row r="35" ht="7.5" customHeight="1">
      <c r="A35" s="213"/>
      <c r="B35" s="419"/>
      <c r="C35" s="23"/>
      <c r="D35" s="23"/>
      <c r="E35" s="25"/>
      <c r="F35" s="419"/>
      <c r="G35" s="419"/>
      <c r="H35" s="419"/>
      <c r="I35" s="407"/>
      <c r="J35" s="421"/>
    </row>
    <row r="36" ht="18.75" customHeight="1">
      <c r="A36" s="322" t="s">
        <v>169</v>
      </c>
      <c r="J36" s="26"/>
    </row>
    <row r="37" ht="18.75" customHeight="1">
      <c r="A37" s="422" t="s">
        <v>1497</v>
      </c>
      <c r="I37" s="423"/>
      <c r="J37" s="101"/>
    </row>
    <row r="38">
      <c r="A38" s="424" t="s">
        <v>41</v>
      </c>
      <c r="B38" s="28" t="s">
        <v>42</v>
      </c>
      <c r="C38" s="29" t="s">
        <v>43</v>
      </c>
      <c r="D38" s="28" t="s">
        <v>46</v>
      </c>
      <c r="E38" s="29" t="s">
        <v>47</v>
      </c>
      <c r="F38" s="29" t="s">
        <v>48</v>
      </c>
      <c r="G38" s="29" t="s">
        <v>49</v>
      </c>
      <c r="H38" s="29" t="s">
        <v>50</v>
      </c>
      <c r="I38" s="29" t="s">
        <v>51</v>
      </c>
      <c r="J38" s="29" t="s">
        <v>1554</v>
      </c>
    </row>
    <row r="39">
      <c r="A39" s="429" t="s">
        <v>1502</v>
      </c>
      <c r="B39" s="27">
        <v>1.300422E7</v>
      </c>
      <c r="C39" s="34" t="b">
        <v>0</v>
      </c>
      <c r="D39" s="27" t="s">
        <v>58</v>
      </c>
      <c r="E39" s="37">
        <v>1.0</v>
      </c>
      <c r="F39" s="37">
        <f>F30</f>
        <v>440</v>
      </c>
      <c r="G39" s="37">
        <v>25.0</v>
      </c>
      <c r="H39" s="37" t="s">
        <v>1503</v>
      </c>
      <c r="I39" s="37" t="s">
        <v>1504</v>
      </c>
      <c r="J39" s="45" t="s">
        <v>1526</v>
      </c>
    </row>
    <row r="40">
      <c r="A40" s="425" t="s">
        <v>1513</v>
      </c>
      <c r="B40" s="27">
        <v>1.30056E7</v>
      </c>
      <c r="C40" s="34" t="b">
        <v>0</v>
      </c>
      <c r="D40" s="27" t="s">
        <v>71</v>
      </c>
      <c r="E40" s="37">
        <v>1.0</v>
      </c>
      <c r="F40" s="37">
        <v>45.0</v>
      </c>
      <c r="G40" s="37">
        <v>64.0</v>
      </c>
      <c r="H40" s="37" t="s">
        <v>1348</v>
      </c>
      <c r="I40" s="37" t="s">
        <v>88</v>
      </c>
      <c r="J40" s="45" t="s">
        <v>1561</v>
      </c>
    </row>
    <row r="41">
      <c r="A41" s="429" t="s">
        <v>1519</v>
      </c>
      <c r="B41" s="27">
        <v>1.30057E7</v>
      </c>
      <c r="C41" s="27" t="b">
        <v>1</v>
      </c>
      <c r="D41" s="27" t="s">
        <v>82</v>
      </c>
      <c r="E41" s="37">
        <v>2.0</v>
      </c>
      <c r="F41" s="37">
        <v>30.0</v>
      </c>
      <c r="G41" s="37">
        <v>31.0</v>
      </c>
      <c r="H41" s="37" t="s">
        <v>1348</v>
      </c>
      <c r="I41" s="37" t="s">
        <v>88</v>
      </c>
      <c r="J41" s="45" t="s">
        <v>1567</v>
      </c>
    </row>
    <row r="42">
      <c r="A42" s="429" t="s">
        <v>1494</v>
      </c>
      <c r="B42" s="27">
        <v>1.300525E7</v>
      </c>
      <c r="C42" s="27" t="b">
        <v>1</v>
      </c>
      <c r="D42" s="27" t="s">
        <v>96</v>
      </c>
      <c r="E42" s="37">
        <v>2.0</v>
      </c>
      <c r="F42" s="37">
        <v>15.0</v>
      </c>
      <c r="G42" s="37">
        <v>0.0</v>
      </c>
      <c r="H42" s="37" t="s">
        <v>1454</v>
      </c>
      <c r="I42" s="37"/>
      <c r="J42" s="174" t="s">
        <v>1521</v>
      </c>
    </row>
    <row r="43">
      <c r="A43" s="327"/>
      <c r="B43" s="426"/>
      <c r="C43" s="52"/>
      <c r="D43" s="52" t="s">
        <v>101</v>
      </c>
      <c r="E43" s="54">
        <f t="shared" ref="E43:G43" si="4">sum(E39:E42)</f>
        <v>6</v>
      </c>
      <c r="F43" s="403">
        <f t="shared" si="4"/>
        <v>530</v>
      </c>
      <c r="G43" s="403">
        <f t="shared" si="4"/>
        <v>120</v>
      </c>
      <c r="H43" s="403"/>
      <c r="I43" s="403"/>
      <c r="J43" s="427"/>
    </row>
    <row r="44" ht="7.5" customHeight="1">
      <c r="A44" s="213"/>
      <c r="B44" s="419"/>
      <c r="C44" s="23"/>
      <c r="D44" s="23"/>
      <c r="E44" s="25"/>
      <c r="F44" s="419"/>
      <c r="G44" s="419"/>
      <c r="H44" s="419"/>
      <c r="I44" s="407"/>
      <c r="J44" s="421"/>
    </row>
    <row r="45" ht="18.75" customHeight="1">
      <c r="A45" s="322" t="s">
        <v>205</v>
      </c>
      <c r="J45" s="26"/>
    </row>
    <row r="46" ht="18.75" customHeight="1">
      <c r="A46" s="422" t="s">
        <v>1570</v>
      </c>
      <c r="I46" s="423"/>
      <c r="J46" s="101"/>
    </row>
    <row r="47">
      <c r="A47" s="424" t="s">
        <v>41</v>
      </c>
      <c r="B47" s="28" t="s">
        <v>42</v>
      </c>
      <c r="C47" s="29" t="s">
        <v>43</v>
      </c>
      <c r="D47" s="28" t="s">
        <v>46</v>
      </c>
      <c r="E47" s="29" t="s">
        <v>47</v>
      </c>
      <c r="F47" s="29" t="s">
        <v>48</v>
      </c>
      <c r="G47" s="29" t="s">
        <v>49</v>
      </c>
      <c r="H47" s="29" t="s">
        <v>50</v>
      </c>
      <c r="I47" s="29" t="s">
        <v>51</v>
      </c>
      <c r="J47" s="29" t="s">
        <v>1572</v>
      </c>
    </row>
    <row r="48">
      <c r="A48" s="425" t="s">
        <v>1502</v>
      </c>
      <c r="B48" s="27">
        <v>1.300422E7</v>
      </c>
      <c r="C48" s="34" t="b">
        <v>0</v>
      </c>
      <c r="D48" s="27" t="s">
        <v>58</v>
      </c>
      <c r="E48" s="37">
        <v>1.0</v>
      </c>
      <c r="F48" s="37">
        <f>F39</f>
        <v>440</v>
      </c>
      <c r="G48" s="37">
        <v>24.0</v>
      </c>
      <c r="H48" s="37" t="s">
        <v>1503</v>
      </c>
      <c r="I48" s="37" t="s">
        <v>1504</v>
      </c>
      <c r="J48" s="45" t="s">
        <v>1505</v>
      </c>
    </row>
    <row r="49">
      <c r="A49" s="425" t="s">
        <v>1577</v>
      </c>
      <c r="B49" s="27">
        <v>1.30063E7</v>
      </c>
      <c r="C49" s="34" t="b">
        <v>0</v>
      </c>
      <c r="D49" s="27" t="s">
        <v>71</v>
      </c>
      <c r="E49" s="37">
        <v>2.0</v>
      </c>
      <c r="F49" s="37">
        <v>40.0</v>
      </c>
      <c r="G49" s="37">
        <v>26.0</v>
      </c>
      <c r="H49" s="37" t="s">
        <v>1579</v>
      </c>
      <c r="I49" s="37" t="s">
        <v>88</v>
      </c>
      <c r="J49" s="45" t="s">
        <v>1581</v>
      </c>
    </row>
    <row r="50">
      <c r="A50" s="425" t="s">
        <v>1582</v>
      </c>
      <c r="B50" s="27">
        <v>1.30064E7</v>
      </c>
      <c r="C50" s="27" t="b">
        <v>1</v>
      </c>
      <c r="D50" s="27" t="s">
        <v>82</v>
      </c>
      <c r="E50" s="37">
        <v>2.0</v>
      </c>
      <c r="F50" s="37">
        <v>0.0</v>
      </c>
      <c r="G50" s="37">
        <v>21.0</v>
      </c>
      <c r="H50" s="37" t="s">
        <v>1579</v>
      </c>
      <c r="I50" s="37" t="s">
        <v>88</v>
      </c>
      <c r="J50" s="45" t="s">
        <v>1586</v>
      </c>
    </row>
    <row r="51">
      <c r="A51" s="425" t="s">
        <v>1587</v>
      </c>
      <c r="B51" s="27">
        <v>1.300645E7</v>
      </c>
      <c r="C51" s="27" t="b">
        <v>1</v>
      </c>
      <c r="D51" s="27" t="s">
        <v>96</v>
      </c>
      <c r="E51" s="37">
        <v>2.0</v>
      </c>
      <c r="F51" s="37">
        <v>0.0</v>
      </c>
      <c r="G51" s="37">
        <v>0.0</v>
      </c>
      <c r="H51" s="37" t="s">
        <v>1454</v>
      </c>
      <c r="I51" s="37"/>
      <c r="J51" s="426"/>
    </row>
    <row r="52">
      <c r="A52" s="440"/>
      <c r="B52" s="34"/>
      <c r="C52" s="34" t="b">
        <v>0</v>
      </c>
      <c r="D52" s="34"/>
      <c r="E52" s="76"/>
      <c r="F52" s="76"/>
      <c r="G52" s="76"/>
      <c r="H52" s="76"/>
      <c r="I52" s="76"/>
      <c r="J52" s="427"/>
    </row>
    <row r="53">
      <c r="A53" s="327"/>
      <c r="B53" s="426"/>
      <c r="C53" s="52"/>
      <c r="D53" s="52" t="s">
        <v>101</v>
      </c>
      <c r="E53" s="54">
        <f t="shared" ref="E53:G53" si="5">sum(E48:E52)</f>
        <v>7</v>
      </c>
      <c r="F53" s="403">
        <f t="shared" si="5"/>
        <v>480</v>
      </c>
      <c r="G53" s="403">
        <f t="shared" si="5"/>
        <v>71</v>
      </c>
      <c r="H53" s="403"/>
      <c r="I53" s="403"/>
      <c r="J53" s="427"/>
    </row>
    <row r="54">
      <c r="A54" s="441"/>
      <c r="B54" s="442"/>
      <c r="C54" s="444"/>
      <c r="D54" s="444"/>
      <c r="E54" s="445"/>
      <c r="F54" s="446"/>
      <c r="G54" s="446"/>
      <c r="H54" s="446"/>
      <c r="I54" s="446"/>
      <c r="J54" s="448"/>
    </row>
    <row r="55">
      <c r="A55" s="449" t="s">
        <v>251</v>
      </c>
      <c r="J55" s="450"/>
    </row>
    <row r="56">
      <c r="A56" s="451" t="s">
        <v>1594</v>
      </c>
      <c r="I56" s="423"/>
      <c r="J56" s="452"/>
    </row>
    <row r="57">
      <c r="A57" s="424" t="s">
        <v>41</v>
      </c>
      <c r="B57" s="28" t="s">
        <v>42</v>
      </c>
      <c r="C57" s="29" t="s">
        <v>43</v>
      </c>
      <c r="D57" s="28" t="s">
        <v>46</v>
      </c>
      <c r="E57" s="29" t="s">
        <v>47</v>
      </c>
      <c r="F57" s="29" t="s">
        <v>48</v>
      </c>
      <c r="G57" s="29" t="s">
        <v>49</v>
      </c>
      <c r="H57" s="29" t="s">
        <v>50</v>
      </c>
      <c r="I57" s="29" t="s">
        <v>51</v>
      </c>
      <c r="J57" s="453" t="s">
        <v>1597</v>
      </c>
    </row>
    <row r="58">
      <c r="A58" s="454" t="s">
        <v>1598</v>
      </c>
      <c r="B58" s="377">
        <v>1.303295E7</v>
      </c>
      <c r="C58" s="455" t="b">
        <v>1</v>
      </c>
      <c r="D58" s="27" t="s">
        <v>82</v>
      </c>
      <c r="E58" s="37">
        <v>1.0</v>
      </c>
      <c r="F58" s="377">
        <v>45.0</v>
      </c>
      <c r="G58" s="377"/>
      <c r="H58" s="458" t="s">
        <v>1600</v>
      </c>
      <c r="I58" s="458" t="s">
        <v>547</v>
      </c>
      <c r="J58" s="443" t="s">
        <v>1601</v>
      </c>
    </row>
    <row r="59">
      <c r="A59" s="454" t="s">
        <v>1602</v>
      </c>
      <c r="B59" s="377">
        <v>1.303705E7</v>
      </c>
      <c r="C59" s="455" t="b">
        <v>1</v>
      </c>
      <c r="D59" s="27" t="s">
        <v>82</v>
      </c>
      <c r="E59" s="37">
        <v>1.0</v>
      </c>
      <c r="F59" s="377">
        <v>0.0</v>
      </c>
      <c r="G59" s="377"/>
      <c r="H59" s="458" t="s">
        <v>1600</v>
      </c>
      <c r="I59" s="458" t="s">
        <v>547</v>
      </c>
      <c r="J59" s="463"/>
    </row>
    <row r="60">
      <c r="A60" s="464" t="s">
        <v>1604</v>
      </c>
      <c r="B60" s="377">
        <v>1.3033E7</v>
      </c>
      <c r="C60" s="455" t="b">
        <v>1</v>
      </c>
      <c r="D60" s="27" t="s">
        <v>96</v>
      </c>
      <c r="E60" s="37">
        <v>2.0</v>
      </c>
      <c r="F60" s="377">
        <v>30.0</v>
      </c>
      <c r="G60" s="377"/>
      <c r="H60" s="458" t="s">
        <v>1600</v>
      </c>
      <c r="I60" s="458" t="s">
        <v>547</v>
      </c>
      <c r="J60" s="463" t="s">
        <v>1521</v>
      </c>
    </row>
    <row r="61">
      <c r="A61" s="466"/>
      <c r="B61" s="467"/>
      <c r="C61" s="468" t="b">
        <v>0</v>
      </c>
      <c r="D61" s="34"/>
      <c r="E61" s="76"/>
      <c r="F61" s="469"/>
      <c r="G61" s="469"/>
      <c r="H61" s="469"/>
      <c r="I61" s="469"/>
      <c r="J61" s="463"/>
    </row>
    <row r="62">
      <c r="A62" s="471"/>
      <c r="B62" s="472"/>
      <c r="C62" s="473"/>
      <c r="D62" s="473" t="s">
        <v>101</v>
      </c>
      <c r="E62" s="475">
        <f t="shared" ref="E62:G62" si="6">sum(E58:E61)</f>
        <v>4</v>
      </c>
      <c r="F62" s="476">
        <f t="shared" si="6"/>
        <v>75</v>
      </c>
      <c r="G62" s="476">
        <f t="shared" si="6"/>
        <v>0</v>
      </c>
      <c r="H62" s="477"/>
      <c r="I62" s="477"/>
      <c r="J62" s="478"/>
    </row>
    <row r="63">
      <c r="A63" s="441"/>
      <c r="B63" s="442"/>
      <c r="C63" s="444"/>
      <c r="D63" s="444"/>
      <c r="E63" s="445"/>
      <c r="F63" s="446"/>
      <c r="G63" s="446"/>
      <c r="H63" s="446"/>
      <c r="I63" s="446"/>
      <c r="J63" s="448"/>
    </row>
    <row r="64">
      <c r="A64" s="449" t="s">
        <v>1603</v>
      </c>
      <c r="J64" s="450"/>
    </row>
    <row r="65">
      <c r="A65" s="422" t="s">
        <v>1261</v>
      </c>
      <c r="I65" s="423"/>
      <c r="J65" s="452"/>
    </row>
    <row r="66">
      <c r="A66" s="424" t="s">
        <v>41</v>
      </c>
      <c r="B66" s="28" t="s">
        <v>42</v>
      </c>
      <c r="C66" s="29" t="s">
        <v>43</v>
      </c>
      <c r="D66" s="28" t="s">
        <v>46</v>
      </c>
      <c r="E66" s="29" t="s">
        <v>47</v>
      </c>
      <c r="F66" s="29" t="s">
        <v>48</v>
      </c>
      <c r="G66" s="29" t="s">
        <v>49</v>
      </c>
      <c r="H66" s="29" t="s">
        <v>50</v>
      </c>
      <c r="I66" s="29" t="s">
        <v>51</v>
      </c>
      <c r="J66" s="453" t="s">
        <v>1624</v>
      </c>
    </row>
    <row r="67">
      <c r="A67" s="480" t="s">
        <v>1264</v>
      </c>
      <c r="B67" s="481" t="s">
        <v>1625</v>
      </c>
      <c r="C67" s="455" t="b">
        <v>1</v>
      </c>
      <c r="D67" s="27" t="s">
        <v>58</v>
      </c>
      <c r="E67" s="37">
        <v>1.0</v>
      </c>
      <c r="F67" s="377">
        <v>220.0</v>
      </c>
      <c r="G67" s="377"/>
      <c r="H67" s="377" t="s">
        <v>1627</v>
      </c>
      <c r="I67" s="377" t="s">
        <v>1030</v>
      </c>
      <c r="J67" s="463" t="s">
        <v>1628</v>
      </c>
    </row>
    <row r="68">
      <c r="A68" s="480" t="s">
        <v>1629</v>
      </c>
      <c r="B68" s="481" t="s">
        <v>1630</v>
      </c>
      <c r="C68" s="455" t="b">
        <v>1</v>
      </c>
      <c r="D68" s="27" t="s">
        <v>58</v>
      </c>
      <c r="E68" s="37">
        <v>1.0</v>
      </c>
      <c r="F68" s="377">
        <v>160.0</v>
      </c>
      <c r="G68" s="377"/>
      <c r="H68" s="377" t="s">
        <v>1632</v>
      </c>
      <c r="I68" s="377" t="s">
        <v>1030</v>
      </c>
      <c r="J68" s="463" t="s">
        <v>1633</v>
      </c>
    </row>
    <row r="69">
      <c r="A69" s="480" t="s">
        <v>1634</v>
      </c>
      <c r="B69" s="377">
        <v>1.30273E7</v>
      </c>
      <c r="C69" s="455" t="b">
        <v>1</v>
      </c>
      <c r="D69" s="27" t="s">
        <v>71</v>
      </c>
      <c r="E69" s="37">
        <v>1.0</v>
      </c>
      <c r="F69" s="377">
        <v>160.0</v>
      </c>
      <c r="G69" s="377"/>
      <c r="H69" s="377" t="s">
        <v>1637</v>
      </c>
      <c r="I69" s="377" t="s">
        <v>1638</v>
      </c>
      <c r="J69" s="463" t="s">
        <v>1639</v>
      </c>
    </row>
    <row r="70">
      <c r="A70" s="480" t="s">
        <v>1640</v>
      </c>
      <c r="B70" s="377">
        <v>3580855.0</v>
      </c>
      <c r="C70" s="455" t="b">
        <v>1</v>
      </c>
      <c r="D70" s="27" t="s">
        <v>96</v>
      </c>
      <c r="E70" s="37">
        <v>1.0</v>
      </c>
      <c r="F70" s="377">
        <v>90.0</v>
      </c>
      <c r="G70" s="377"/>
      <c r="H70" s="377" t="s">
        <v>1642</v>
      </c>
      <c r="I70" s="377" t="s">
        <v>1030</v>
      </c>
      <c r="J70" s="463" t="s">
        <v>1643</v>
      </c>
    </row>
    <row r="71">
      <c r="A71" s="480" t="s">
        <v>1644</v>
      </c>
      <c r="B71" s="377">
        <v>1.30274E7</v>
      </c>
      <c r="C71" s="455" t="b">
        <v>1</v>
      </c>
      <c r="D71" s="27" t="s">
        <v>82</v>
      </c>
      <c r="E71" s="37">
        <v>1.0</v>
      </c>
      <c r="F71" s="377">
        <v>90.0</v>
      </c>
      <c r="G71" s="377"/>
      <c r="H71" s="377" t="s">
        <v>1646</v>
      </c>
      <c r="I71" s="377" t="s">
        <v>1638</v>
      </c>
      <c r="J71" s="484" t="s">
        <v>1647</v>
      </c>
    </row>
    <row r="72">
      <c r="A72" s="480" t="s">
        <v>1648</v>
      </c>
      <c r="B72" s="377">
        <v>1302800.0</v>
      </c>
      <c r="C72" s="455" t="b">
        <v>1</v>
      </c>
      <c r="D72" s="27" t="s">
        <v>96</v>
      </c>
      <c r="E72" s="37">
        <v>2.0</v>
      </c>
      <c r="F72" s="377">
        <v>45.0</v>
      </c>
      <c r="G72" s="377"/>
      <c r="H72" s="377" t="s">
        <v>1650</v>
      </c>
      <c r="I72" s="377" t="s">
        <v>1638</v>
      </c>
      <c r="J72" s="463" t="s">
        <v>1652</v>
      </c>
    </row>
    <row r="73">
      <c r="A73" s="480"/>
      <c r="B73" s="377"/>
      <c r="C73" s="455" t="b">
        <v>0</v>
      </c>
      <c r="D73" s="27"/>
      <c r="E73" s="37"/>
      <c r="F73" s="377"/>
      <c r="G73" s="377"/>
      <c r="H73" s="377"/>
      <c r="I73" s="377"/>
      <c r="J73" s="463"/>
    </row>
    <row r="74">
      <c r="A74" s="471"/>
      <c r="B74" s="472"/>
      <c r="C74" s="473"/>
      <c r="D74" s="473" t="s">
        <v>101</v>
      </c>
      <c r="E74" s="475">
        <f t="shared" ref="E74:G74" si="7">sum(E67:E72)</f>
        <v>7</v>
      </c>
      <c r="F74" s="476">
        <f t="shared" si="7"/>
        <v>765</v>
      </c>
      <c r="G74" s="476">
        <f t="shared" si="7"/>
        <v>0</v>
      </c>
      <c r="H74" s="477"/>
      <c r="I74" s="477"/>
      <c r="J74" s="463"/>
    </row>
    <row r="75">
      <c r="A75" s="441"/>
      <c r="B75" s="442"/>
      <c r="C75" s="444"/>
      <c r="D75" s="444"/>
      <c r="E75" s="445"/>
      <c r="F75" s="446"/>
      <c r="G75" s="446"/>
      <c r="H75" s="446"/>
      <c r="I75" s="446"/>
      <c r="J75" s="448"/>
    </row>
    <row r="76">
      <c r="A76" s="449" t="s">
        <v>1645</v>
      </c>
      <c r="J76" s="450"/>
    </row>
    <row r="77">
      <c r="A77" s="422" t="s">
        <v>1673</v>
      </c>
      <c r="I77" s="423"/>
      <c r="J77" s="452"/>
    </row>
    <row r="78">
      <c r="A78" s="424" t="s">
        <v>41</v>
      </c>
      <c r="B78" s="28" t="s">
        <v>42</v>
      </c>
      <c r="C78" s="29" t="s">
        <v>43</v>
      </c>
      <c r="D78" s="28" t="s">
        <v>46</v>
      </c>
      <c r="E78" s="29" t="s">
        <v>47</v>
      </c>
      <c r="F78" s="29" t="s">
        <v>48</v>
      </c>
      <c r="G78" s="29" t="s">
        <v>49</v>
      </c>
      <c r="H78" s="29" t="s">
        <v>50</v>
      </c>
      <c r="I78" s="29" t="s">
        <v>51</v>
      </c>
      <c r="J78" s="453" t="s">
        <v>1677</v>
      </c>
    </row>
    <row r="79">
      <c r="A79" s="480" t="s">
        <v>1264</v>
      </c>
      <c r="B79" s="481" t="s">
        <v>1625</v>
      </c>
      <c r="C79" s="455" t="b">
        <v>1</v>
      </c>
      <c r="D79" s="27" t="s">
        <v>58</v>
      </c>
      <c r="E79" s="37">
        <v>1.0</v>
      </c>
      <c r="F79" s="377">
        <v>220.0</v>
      </c>
      <c r="G79" s="377"/>
      <c r="H79" s="377" t="s">
        <v>1627</v>
      </c>
      <c r="I79" s="377" t="s">
        <v>1030</v>
      </c>
      <c r="J79" s="499" t="s">
        <v>1185</v>
      </c>
    </row>
    <row r="80">
      <c r="A80" s="500" t="s">
        <v>1438</v>
      </c>
      <c r="B80" s="481" t="s">
        <v>1687</v>
      </c>
      <c r="C80" s="455" t="b">
        <v>1</v>
      </c>
      <c r="D80" s="27" t="s">
        <v>71</v>
      </c>
      <c r="E80" s="37">
        <v>1.0</v>
      </c>
      <c r="F80" s="377">
        <v>60.0</v>
      </c>
      <c r="G80" s="377"/>
      <c r="H80" s="377" t="s">
        <v>1690</v>
      </c>
      <c r="I80" s="377" t="s">
        <v>88</v>
      </c>
      <c r="J80" s="499" t="s">
        <v>1692</v>
      </c>
    </row>
    <row r="81">
      <c r="A81" s="500" t="s">
        <v>600</v>
      </c>
      <c r="B81" s="481" t="s">
        <v>1693</v>
      </c>
      <c r="C81" s="455" t="b">
        <v>1</v>
      </c>
      <c r="D81" s="27" t="s">
        <v>71</v>
      </c>
      <c r="E81" s="37">
        <v>1.0</v>
      </c>
      <c r="F81" s="377">
        <v>60.0</v>
      </c>
      <c r="G81" s="377"/>
      <c r="H81" s="377" t="s">
        <v>1695</v>
      </c>
      <c r="I81" s="377" t="s">
        <v>1696</v>
      </c>
      <c r="J81" s="499" t="s">
        <v>1697</v>
      </c>
    </row>
    <row r="82">
      <c r="A82" s="500" t="s">
        <v>1698</v>
      </c>
      <c r="B82" s="481" t="s">
        <v>1699</v>
      </c>
      <c r="C82" s="455" t="b">
        <v>1</v>
      </c>
      <c r="D82" s="27" t="s">
        <v>82</v>
      </c>
      <c r="E82" s="37">
        <v>1.0</v>
      </c>
      <c r="F82" s="377">
        <v>30.0</v>
      </c>
      <c r="G82" s="377"/>
      <c r="H82" s="377" t="s">
        <v>1695</v>
      </c>
      <c r="I82" s="377" t="s">
        <v>1696</v>
      </c>
      <c r="J82" s="499" t="s">
        <v>1701</v>
      </c>
    </row>
    <row r="83">
      <c r="A83" s="500" t="s">
        <v>1702</v>
      </c>
      <c r="B83" s="481" t="s">
        <v>1703</v>
      </c>
      <c r="C83" s="455" t="b">
        <v>1</v>
      </c>
      <c r="D83" s="27" t="s">
        <v>82</v>
      </c>
      <c r="E83" s="37">
        <v>1.0</v>
      </c>
      <c r="F83" s="377">
        <v>30.0</v>
      </c>
      <c r="G83" s="377"/>
      <c r="H83" s="377" t="s">
        <v>1627</v>
      </c>
      <c r="I83" s="377" t="s">
        <v>1030</v>
      </c>
      <c r="J83" s="499" t="s">
        <v>1707</v>
      </c>
    </row>
    <row r="84">
      <c r="A84" s="500" t="s">
        <v>1709</v>
      </c>
      <c r="B84" s="377">
        <v>1.30374E7</v>
      </c>
      <c r="C84" s="455" t="b">
        <v>1</v>
      </c>
      <c r="D84" s="27" t="s">
        <v>96</v>
      </c>
      <c r="E84" s="37">
        <v>2.0</v>
      </c>
      <c r="F84" s="377">
        <v>0.0</v>
      </c>
      <c r="G84" s="377"/>
      <c r="H84" s="377"/>
      <c r="I84" s="469"/>
      <c r="J84" s="463"/>
    </row>
    <row r="85">
      <c r="A85" s="466"/>
      <c r="B85" s="467"/>
      <c r="C85" s="468" t="b">
        <v>0</v>
      </c>
      <c r="D85" s="34"/>
      <c r="E85" s="76"/>
      <c r="F85" s="469"/>
      <c r="G85" s="469"/>
      <c r="H85" s="469"/>
      <c r="I85" s="469"/>
      <c r="J85" s="463"/>
    </row>
    <row r="86">
      <c r="A86" s="471"/>
      <c r="B86" s="472"/>
      <c r="C86" s="473"/>
      <c r="D86" s="473" t="s">
        <v>101</v>
      </c>
      <c r="E86" s="475">
        <f t="shared" ref="E86:G86" si="8">sum(E79:E85)</f>
        <v>7</v>
      </c>
      <c r="F86" s="476">
        <f t="shared" si="8"/>
        <v>400</v>
      </c>
      <c r="G86" s="507">
        <f t="shared" si="8"/>
        <v>0</v>
      </c>
      <c r="H86" s="477"/>
      <c r="I86" s="477"/>
      <c r="J86" s="463"/>
    </row>
    <row r="87">
      <c r="A87" s="441"/>
      <c r="B87" s="442"/>
      <c r="C87" s="444"/>
      <c r="D87" s="444"/>
      <c r="E87" s="445"/>
      <c r="F87" s="446"/>
      <c r="G87" s="446"/>
      <c r="H87" s="446"/>
      <c r="I87" s="446"/>
      <c r="J87" s="448"/>
    </row>
    <row r="88">
      <c r="A88" s="449" t="s">
        <v>1704</v>
      </c>
      <c r="J88" s="450"/>
    </row>
    <row r="89">
      <c r="A89" s="422" t="s">
        <v>1726</v>
      </c>
      <c r="I89" s="423"/>
      <c r="J89" s="452"/>
    </row>
    <row r="90">
      <c r="A90" s="424" t="s">
        <v>41</v>
      </c>
      <c r="B90" s="28" t="s">
        <v>42</v>
      </c>
      <c r="C90" s="29" t="s">
        <v>43</v>
      </c>
      <c r="D90" s="28" t="s">
        <v>46</v>
      </c>
      <c r="E90" s="29" t="s">
        <v>47</v>
      </c>
      <c r="F90" s="29" t="s">
        <v>48</v>
      </c>
      <c r="G90" s="29" t="s">
        <v>49</v>
      </c>
      <c r="H90" s="29" t="s">
        <v>50</v>
      </c>
      <c r="I90" s="29" t="s">
        <v>51</v>
      </c>
      <c r="J90" s="453" t="s">
        <v>1735</v>
      </c>
    </row>
    <row r="91">
      <c r="A91" s="511" t="s">
        <v>1607</v>
      </c>
      <c r="B91" s="377" t="s">
        <v>1608</v>
      </c>
      <c r="C91" s="468" t="b">
        <v>0</v>
      </c>
      <c r="D91" s="27" t="s">
        <v>58</v>
      </c>
      <c r="E91" s="37">
        <v>1.0</v>
      </c>
      <c r="F91" s="377">
        <v>140.0</v>
      </c>
      <c r="G91" s="377"/>
      <c r="H91" s="377" t="s">
        <v>1746</v>
      </c>
      <c r="I91" s="377" t="s">
        <v>1295</v>
      </c>
      <c r="J91" s="478"/>
    </row>
    <row r="92">
      <c r="A92" s="511" t="s">
        <v>1747</v>
      </c>
      <c r="B92" s="377" t="s">
        <v>1613</v>
      </c>
      <c r="C92" s="468" t="b">
        <v>0</v>
      </c>
      <c r="D92" s="27" t="s">
        <v>71</v>
      </c>
      <c r="E92" s="37">
        <v>1.0</v>
      </c>
      <c r="F92" s="377">
        <v>40.0</v>
      </c>
      <c r="G92" s="377"/>
      <c r="H92" s="377" t="s">
        <v>1750</v>
      </c>
      <c r="I92" s="377" t="s">
        <v>88</v>
      </c>
      <c r="J92" s="513" t="s">
        <v>1615</v>
      </c>
    </row>
    <row r="93">
      <c r="A93" s="514" t="s">
        <v>1751</v>
      </c>
      <c r="B93" s="515" t="s">
        <v>1619</v>
      </c>
      <c r="C93" s="517" t="b">
        <v>0</v>
      </c>
      <c r="D93" s="79" t="s">
        <v>82</v>
      </c>
      <c r="E93" s="137">
        <v>1.0</v>
      </c>
      <c r="F93" s="515">
        <v>45.0</v>
      </c>
      <c r="G93" s="515"/>
      <c r="H93" s="519" t="s">
        <v>1753</v>
      </c>
      <c r="I93" s="515" t="s">
        <v>88</v>
      </c>
      <c r="J93" s="520"/>
    </row>
    <row r="94">
      <c r="A94" s="511" t="s">
        <v>975</v>
      </c>
      <c r="B94" s="377">
        <v>1.304045E7</v>
      </c>
      <c r="C94" s="455" t="b">
        <v>0</v>
      </c>
      <c r="D94" s="27" t="s">
        <v>96</v>
      </c>
      <c r="E94" s="37">
        <v>2.0</v>
      </c>
      <c r="F94" s="377">
        <v>15.0</v>
      </c>
      <c r="G94" s="377"/>
      <c r="H94" s="66" t="s">
        <v>1753</v>
      </c>
      <c r="I94" s="377" t="s">
        <v>88</v>
      </c>
      <c r="J94" s="513" t="s">
        <v>1615</v>
      </c>
    </row>
    <row r="95">
      <c r="A95" s="511" t="s">
        <v>975</v>
      </c>
      <c r="B95" s="377">
        <v>1.304046E7</v>
      </c>
      <c r="C95" s="455" t="b">
        <v>0</v>
      </c>
      <c r="D95" s="27" t="s">
        <v>96</v>
      </c>
      <c r="E95" s="37">
        <v>2.0</v>
      </c>
      <c r="F95" s="377">
        <v>0.0</v>
      </c>
      <c r="G95" s="377"/>
      <c r="H95" s="66" t="s">
        <v>1753</v>
      </c>
      <c r="I95" s="377" t="s">
        <v>88</v>
      </c>
      <c r="J95" s="513" t="s">
        <v>1615</v>
      </c>
    </row>
    <row r="96">
      <c r="A96" s="466"/>
      <c r="B96" s="467"/>
      <c r="C96" s="468" t="b">
        <v>0</v>
      </c>
      <c r="D96" s="34"/>
      <c r="E96" s="76"/>
      <c r="F96" s="469"/>
      <c r="G96" s="469"/>
      <c r="H96" s="469"/>
      <c r="I96" s="469"/>
      <c r="J96" s="478"/>
    </row>
    <row r="97">
      <c r="A97" s="471"/>
      <c r="B97" s="472"/>
      <c r="C97" s="473"/>
      <c r="D97" s="473" t="s">
        <v>101</v>
      </c>
      <c r="E97" s="475">
        <f t="shared" ref="E97:G97" si="9">sum(E91:E96)</f>
        <v>7</v>
      </c>
      <c r="F97" s="476">
        <f t="shared" si="9"/>
        <v>240</v>
      </c>
      <c r="G97" s="507">
        <f t="shared" si="9"/>
        <v>0</v>
      </c>
      <c r="H97" s="477"/>
      <c r="I97" s="477"/>
      <c r="J97" s="478"/>
    </row>
    <row r="98">
      <c r="A98" s="441"/>
      <c r="B98" s="442"/>
      <c r="C98" s="444"/>
      <c r="D98" s="444"/>
      <c r="E98" s="445"/>
      <c r="F98" s="446"/>
      <c r="G98" s="446"/>
      <c r="H98" s="446"/>
      <c r="I98" s="446"/>
      <c r="J98" s="448"/>
    </row>
    <row r="99">
      <c r="A99" s="449" t="s">
        <v>1766</v>
      </c>
      <c r="J99" s="450"/>
    </row>
    <row r="100">
      <c r="A100" s="422" t="s">
        <v>1553</v>
      </c>
      <c r="I100" s="423"/>
      <c r="J100" s="452"/>
    </row>
    <row r="101">
      <c r="A101" s="424" t="s">
        <v>41</v>
      </c>
      <c r="B101" s="28" t="s">
        <v>42</v>
      </c>
      <c r="C101" s="29" t="s">
        <v>43</v>
      </c>
      <c r="D101" s="28" t="s">
        <v>46</v>
      </c>
      <c r="E101" s="29" t="s">
        <v>47</v>
      </c>
      <c r="F101" s="29" t="s">
        <v>48</v>
      </c>
      <c r="G101" s="29" t="s">
        <v>49</v>
      </c>
      <c r="H101" s="29" t="s">
        <v>50</v>
      </c>
      <c r="I101" s="29" t="s">
        <v>51</v>
      </c>
      <c r="J101" s="453" t="s">
        <v>1767</v>
      </c>
    </row>
    <row r="102">
      <c r="A102" s="511" t="s">
        <v>959</v>
      </c>
      <c r="B102" s="377">
        <v>1.300421E7</v>
      </c>
      <c r="C102" s="468" t="b">
        <v>0</v>
      </c>
      <c r="D102" s="27" t="s">
        <v>58</v>
      </c>
      <c r="E102" s="37">
        <v>1.0</v>
      </c>
      <c r="F102" s="377">
        <v>260.0</v>
      </c>
      <c r="G102" s="377"/>
      <c r="H102" s="377" t="s">
        <v>1770</v>
      </c>
      <c r="I102" s="377" t="s">
        <v>88</v>
      </c>
      <c r="J102" s="67"/>
    </row>
    <row r="103">
      <c r="A103" s="511" t="s">
        <v>1457</v>
      </c>
      <c r="B103" s="377">
        <v>1.30046E7</v>
      </c>
      <c r="C103" s="455" t="b">
        <v>1</v>
      </c>
      <c r="D103" s="27" t="s">
        <v>71</v>
      </c>
      <c r="E103" s="37">
        <v>1.0</v>
      </c>
      <c r="F103" s="377">
        <v>100.0</v>
      </c>
      <c r="G103" s="377"/>
      <c r="H103" s="377" t="s">
        <v>1774</v>
      </c>
      <c r="I103" s="377" t="s">
        <v>1775</v>
      </c>
      <c r="J103" s="67" t="s">
        <v>1566</v>
      </c>
    </row>
    <row r="104">
      <c r="A104" s="511" t="s">
        <v>1458</v>
      </c>
      <c r="B104" s="377">
        <v>1.30047E7</v>
      </c>
      <c r="C104" s="455" t="b">
        <v>1</v>
      </c>
      <c r="D104" s="27" t="s">
        <v>82</v>
      </c>
      <c r="E104" s="37">
        <v>2.0</v>
      </c>
      <c r="F104" s="377">
        <v>45.0</v>
      </c>
      <c r="G104" s="377"/>
      <c r="H104" s="377" t="s">
        <v>1779</v>
      </c>
      <c r="I104" s="377" t="s">
        <v>547</v>
      </c>
      <c r="J104" s="67" t="s">
        <v>1566</v>
      </c>
    </row>
    <row r="105">
      <c r="A105" s="511" t="s">
        <v>1781</v>
      </c>
      <c r="B105" s="377">
        <v>1.30048E7</v>
      </c>
      <c r="C105" s="455" t="b">
        <v>1</v>
      </c>
      <c r="D105" s="27" t="s">
        <v>96</v>
      </c>
      <c r="E105" s="37">
        <v>2.0</v>
      </c>
      <c r="F105" s="377">
        <v>30.0</v>
      </c>
      <c r="G105" s="377"/>
      <c r="H105" s="377" t="s">
        <v>1770</v>
      </c>
      <c r="I105" s="377" t="s">
        <v>88</v>
      </c>
      <c r="J105" s="67" t="s">
        <v>1569</v>
      </c>
    </row>
    <row r="106">
      <c r="A106" s="466"/>
      <c r="B106" s="467"/>
      <c r="C106" s="468" t="b">
        <v>0</v>
      </c>
      <c r="D106" s="34"/>
      <c r="E106" s="76"/>
      <c r="F106" s="469"/>
      <c r="G106" s="469"/>
      <c r="H106" s="469"/>
      <c r="I106" s="469"/>
      <c r="J106" s="478"/>
    </row>
    <row r="107">
      <c r="A107" s="471"/>
      <c r="B107" s="472"/>
      <c r="C107" s="473"/>
      <c r="D107" s="473" t="s">
        <v>101</v>
      </c>
      <c r="E107" s="475">
        <f t="shared" ref="E107:G107" si="10">sum(E102:E106)</f>
        <v>6</v>
      </c>
      <c r="F107" s="476">
        <f t="shared" si="10"/>
        <v>435</v>
      </c>
      <c r="G107" s="507">
        <f t="shared" si="10"/>
        <v>0</v>
      </c>
      <c r="H107" s="477"/>
      <c r="I107" s="477"/>
      <c r="J107" s="478"/>
    </row>
    <row r="108">
      <c r="A108" s="441"/>
      <c r="B108" s="442"/>
      <c r="C108" s="444"/>
      <c r="D108" s="444"/>
      <c r="E108" s="445"/>
      <c r="F108" s="446"/>
      <c r="G108" s="446"/>
      <c r="H108" s="446"/>
      <c r="I108" s="446"/>
      <c r="J108" s="448"/>
    </row>
    <row r="109">
      <c r="A109" s="449" t="s">
        <v>1789</v>
      </c>
      <c r="J109" s="450"/>
    </row>
    <row r="110">
      <c r="A110" s="422" t="s">
        <v>1571</v>
      </c>
      <c r="I110" s="423"/>
      <c r="J110" s="452"/>
    </row>
    <row r="111">
      <c r="A111" s="424" t="s">
        <v>41</v>
      </c>
      <c r="B111" s="28" t="s">
        <v>42</v>
      </c>
      <c r="C111" s="29" t="s">
        <v>43</v>
      </c>
      <c r="D111" s="28" t="s">
        <v>46</v>
      </c>
      <c r="E111" s="29" t="s">
        <v>47</v>
      </c>
      <c r="F111" s="29" t="s">
        <v>48</v>
      </c>
      <c r="G111" s="29" t="s">
        <v>49</v>
      </c>
      <c r="H111" s="29" t="s">
        <v>50</v>
      </c>
      <c r="I111" s="29" t="s">
        <v>51</v>
      </c>
      <c r="J111" s="453" t="s">
        <v>1796</v>
      </c>
    </row>
    <row r="112">
      <c r="A112" s="511" t="s">
        <v>959</v>
      </c>
      <c r="B112" s="377">
        <v>1.300421E7</v>
      </c>
      <c r="C112" s="468" t="b">
        <v>0</v>
      </c>
      <c r="D112" s="27" t="s">
        <v>58</v>
      </c>
      <c r="E112" s="37">
        <v>1.0</v>
      </c>
      <c r="F112" s="377">
        <f>F102</f>
        <v>260</v>
      </c>
      <c r="G112" s="377"/>
      <c r="H112" s="377" t="s">
        <v>1770</v>
      </c>
      <c r="I112" s="377" t="s">
        <v>88</v>
      </c>
      <c r="J112" s="67"/>
    </row>
    <row r="113">
      <c r="A113" s="480" t="s">
        <v>413</v>
      </c>
      <c r="B113" s="377"/>
      <c r="C113" s="455" t="b">
        <v>0</v>
      </c>
      <c r="D113" s="27"/>
      <c r="E113" s="37"/>
      <c r="F113" s="377"/>
      <c r="G113" s="377"/>
      <c r="H113" s="377" t="s">
        <v>1810</v>
      </c>
      <c r="I113" s="377"/>
      <c r="J113" s="67" t="s">
        <v>301</v>
      </c>
    </row>
    <row r="114">
      <c r="A114" s="511" t="s">
        <v>1022</v>
      </c>
      <c r="B114" s="377">
        <v>1.30043E7</v>
      </c>
      <c r="C114" s="455" t="b">
        <v>1</v>
      </c>
      <c r="D114" s="27" t="s">
        <v>71</v>
      </c>
      <c r="E114" s="37">
        <v>1.0</v>
      </c>
      <c r="F114" s="377">
        <v>60.0</v>
      </c>
      <c r="G114" s="377"/>
      <c r="H114" s="377" t="s">
        <v>1813</v>
      </c>
      <c r="I114" s="377" t="s">
        <v>88</v>
      </c>
      <c r="J114" s="67" t="s">
        <v>1566</v>
      </c>
    </row>
    <row r="115">
      <c r="A115" s="480" t="s">
        <v>310</v>
      </c>
      <c r="B115" s="377"/>
      <c r="C115" s="455" t="b">
        <v>0</v>
      </c>
      <c r="D115" s="27"/>
      <c r="E115" s="37"/>
      <c r="F115" s="377"/>
      <c r="G115" s="377"/>
      <c r="H115" s="377" t="s">
        <v>1815</v>
      </c>
      <c r="I115" s="377"/>
      <c r="J115" s="67" t="s">
        <v>301</v>
      </c>
    </row>
    <row r="116">
      <c r="A116" s="511" t="s">
        <v>1032</v>
      </c>
      <c r="B116" s="377">
        <v>1.30044E7</v>
      </c>
      <c r="C116" s="455" t="b">
        <v>1</v>
      </c>
      <c r="D116" s="27" t="s">
        <v>82</v>
      </c>
      <c r="E116" s="37">
        <v>2.0</v>
      </c>
      <c r="F116" s="377">
        <v>15.0</v>
      </c>
      <c r="G116" s="377"/>
      <c r="H116" s="377" t="s">
        <v>1813</v>
      </c>
      <c r="I116" s="377" t="s">
        <v>88</v>
      </c>
      <c r="J116" s="67" t="s">
        <v>1566</v>
      </c>
    </row>
    <row r="117">
      <c r="A117" s="511" t="s">
        <v>1764</v>
      </c>
      <c r="B117" s="377">
        <v>1.30045E7</v>
      </c>
      <c r="C117" s="455" t="b">
        <v>1</v>
      </c>
      <c r="D117" s="27" t="s">
        <v>96</v>
      </c>
      <c r="E117" s="37">
        <v>2.0</v>
      </c>
      <c r="F117" s="377">
        <v>15.0</v>
      </c>
      <c r="G117" s="377"/>
      <c r="H117" s="377" t="s">
        <v>1813</v>
      </c>
      <c r="I117" s="377" t="s">
        <v>88</v>
      </c>
      <c r="J117" s="67" t="s">
        <v>1569</v>
      </c>
    </row>
    <row r="118">
      <c r="A118" s="466"/>
      <c r="B118" s="467"/>
      <c r="C118" s="468" t="b">
        <v>0</v>
      </c>
      <c r="D118" s="34"/>
      <c r="E118" s="76"/>
      <c r="F118" s="469"/>
      <c r="G118" s="469"/>
      <c r="H118" s="469"/>
      <c r="I118" s="469"/>
      <c r="J118" s="478"/>
    </row>
    <row r="119">
      <c r="A119" s="471"/>
      <c r="B119" s="472"/>
      <c r="C119" s="473"/>
      <c r="D119" s="473" t="s">
        <v>101</v>
      </c>
      <c r="E119" s="475">
        <f t="shared" ref="E119:G119" si="11">sum(E112:E118)</f>
        <v>6</v>
      </c>
      <c r="F119" s="476">
        <f t="shared" si="11"/>
        <v>350</v>
      </c>
      <c r="G119" s="507">
        <f t="shared" si="11"/>
        <v>0</v>
      </c>
      <c r="H119" s="477"/>
      <c r="I119" s="477"/>
      <c r="J119" s="478"/>
    </row>
    <row r="120">
      <c r="A120" s="441"/>
      <c r="B120" s="442"/>
      <c r="C120" s="444"/>
      <c r="D120" s="444"/>
      <c r="E120" s="445"/>
      <c r="F120" s="446"/>
      <c r="G120" s="446"/>
      <c r="H120" s="446"/>
      <c r="I120" s="446"/>
      <c r="J120" s="448"/>
    </row>
    <row r="121">
      <c r="A121" s="449" t="s">
        <v>1771</v>
      </c>
      <c r="J121" s="450"/>
    </row>
    <row r="122">
      <c r="A122" s="451" t="s">
        <v>1827</v>
      </c>
      <c r="I122" s="423"/>
      <c r="J122" s="452"/>
    </row>
    <row r="123">
      <c r="A123" s="424" t="s">
        <v>41</v>
      </c>
      <c r="B123" s="28" t="s">
        <v>42</v>
      </c>
      <c r="C123" s="29" t="s">
        <v>43</v>
      </c>
      <c r="D123" s="28" t="s">
        <v>46</v>
      </c>
      <c r="E123" s="29" t="s">
        <v>47</v>
      </c>
      <c r="F123" s="29" t="s">
        <v>48</v>
      </c>
      <c r="G123" s="29" t="s">
        <v>49</v>
      </c>
      <c r="H123" s="29" t="s">
        <v>50</v>
      </c>
      <c r="I123" s="29" t="s">
        <v>51</v>
      </c>
      <c r="J123" s="453" t="s">
        <v>1830</v>
      </c>
    </row>
    <row r="124">
      <c r="A124" s="464" t="s">
        <v>504</v>
      </c>
      <c r="B124" s="377">
        <v>1.30202E7</v>
      </c>
      <c r="C124" s="468" t="b">
        <v>0</v>
      </c>
      <c r="D124" s="27" t="s">
        <v>58</v>
      </c>
      <c r="E124" s="37">
        <v>1.0</v>
      </c>
      <c r="F124" s="377">
        <v>380.0</v>
      </c>
      <c r="G124" s="377"/>
      <c r="H124" s="458" t="s">
        <v>1832</v>
      </c>
      <c r="I124" s="458" t="s">
        <v>1833</v>
      </c>
      <c r="J124" s="478"/>
    </row>
    <row r="125">
      <c r="A125" s="464" t="s">
        <v>1834</v>
      </c>
      <c r="B125" s="377">
        <v>1.302041E7</v>
      </c>
      <c r="C125" s="455" t="b">
        <v>1</v>
      </c>
      <c r="D125" s="27" t="s">
        <v>82</v>
      </c>
      <c r="E125" s="37">
        <v>2.0</v>
      </c>
      <c r="F125" s="377">
        <v>140.0</v>
      </c>
      <c r="G125" s="377"/>
      <c r="H125" s="458" t="s">
        <v>1836</v>
      </c>
      <c r="I125" s="458" t="s">
        <v>1837</v>
      </c>
      <c r="J125" s="478"/>
    </row>
    <row r="126">
      <c r="A126" s="464" t="s">
        <v>1838</v>
      </c>
      <c r="B126" s="377">
        <v>1.30205E7</v>
      </c>
      <c r="C126" s="455" t="b">
        <v>1</v>
      </c>
      <c r="D126" s="27" t="s">
        <v>96</v>
      </c>
      <c r="E126" s="37">
        <v>2.0</v>
      </c>
      <c r="F126" s="377">
        <v>15.0</v>
      </c>
      <c r="G126" s="377"/>
      <c r="H126" s="458" t="s">
        <v>1840</v>
      </c>
      <c r="I126" s="458" t="s">
        <v>1841</v>
      </c>
      <c r="J126" s="463"/>
    </row>
    <row r="127">
      <c r="A127" s="464" t="s">
        <v>1838</v>
      </c>
      <c r="B127" s="377">
        <v>1.302051E7</v>
      </c>
      <c r="C127" s="455" t="b">
        <v>1</v>
      </c>
      <c r="D127" s="27" t="s">
        <v>96</v>
      </c>
      <c r="E127" s="37">
        <v>2.0</v>
      </c>
      <c r="F127" s="377">
        <v>0.0</v>
      </c>
      <c r="G127" s="377"/>
      <c r="H127" s="292" t="s">
        <v>1840</v>
      </c>
      <c r="I127" s="292" t="s">
        <v>1841</v>
      </c>
      <c r="J127" s="499" t="s">
        <v>1843</v>
      </c>
    </row>
    <row r="128">
      <c r="A128" s="466"/>
      <c r="B128" s="467"/>
      <c r="C128" s="468" t="b">
        <v>0</v>
      </c>
      <c r="D128" s="34"/>
      <c r="E128" s="76"/>
      <c r="F128" s="469"/>
      <c r="G128" s="469"/>
      <c r="H128" s="469"/>
      <c r="I128" s="469"/>
      <c r="J128" s="478"/>
    </row>
    <row r="129">
      <c r="A129" s="471"/>
      <c r="B129" s="472"/>
      <c r="C129" s="473"/>
      <c r="D129" s="473" t="s">
        <v>101</v>
      </c>
      <c r="E129" s="475">
        <f t="shared" ref="E129:G129" si="12">sum(E124:E128)</f>
        <v>7</v>
      </c>
      <c r="F129" s="476">
        <f t="shared" si="12"/>
        <v>535</v>
      </c>
      <c r="G129" s="507">
        <f t="shared" si="12"/>
        <v>0</v>
      </c>
      <c r="H129" s="477"/>
      <c r="I129" s="477"/>
      <c r="J129" s="478"/>
    </row>
    <row r="130">
      <c r="A130" s="441"/>
      <c r="B130" s="442"/>
      <c r="C130" s="444"/>
      <c r="D130" s="444"/>
      <c r="E130" s="445"/>
      <c r="F130" s="446"/>
      <c r="G130" s="446"/>
      <c r="H130" s="446"/>
      <c r="I130" s="446"/>
      <c r="J130" s="448"/>
    </row>
    <row r="131">
      <c r="A131" s="449" t="s">
        <v>1805</v>
      </c>
      <c r="J131" s="450"/>
    </row>
    <row r="132">
      <c r="A132" s="112" t="s">
        <v>1635</v>
      </c>
      <c r="J132" s="452"/>
    </row>
    <row r="133">
      <c r="A133" s="424" t="s">
        <v>41</v>
      </c>
      <c r="B133" s="28" t="s">
        <v>42</v>
      </c>
      <c r="C133" s="29" t="s">
        <v>43</v>
      </c>
      <c r="D133" s="28" t="s">
        <v>46</v>
      </c>
      <c r="E133" s="29" t="s">
        <v>47</v>
      </c>
      <c r="F133" s="29" t="s">
        <v>48</v>
      </c>
      <c r="G133" s="29" t="s">
        <v>49</v>
      </c>
      <c r="H133" s="29" t="s">
        <v>50</v>
      </c>
      <c r="I133" s="29" t="s">
        <v>51</v>
      </c>
      <c r="J133" s="453" t="s">
        <v>1848</v>
      </c>
    </row>
    <row r="134">
      <c r="A134" s="464" t="s">
        <v>504</v>
      </c>
      <c r="B134" s="377">
        <v>1.30202E7</v>
      </c>
      <c r="C134" s="468" t="b">
        <v>0</v>
      </c>
      <c r="D134" s="27" t="s">
        <v>58</v>
      </c>
      <c r="E134" s="37">
        <v>1.0</v>
      </c>
      <c r="F134" s="377">
        <f t="shared" ref="F134:F135" si="13">F124</f>
        <v>380</v>
      </c>
      <c r="G134" s="377"/>
      <c r="H134" s="458" t="s">
        <v>1832</v>
      </c>
      <c r="I134" s="458" t="s">
        <v>1833</v>
      </c>
      <c r="J134" s="478"/>
    </row>
    <row r="135">
      <c r="A135" s="464" t="s">
        <v>1834</v>
      </c>
      <c r="B135" s="377">
        <v>1.302041E7</v>
      </c>
      <c r="C135" s="455" t="b">
        <v>1</v>
      </c>
      <c r="D135" s="27" t="s">
        <v>82</v>
      </c>
      <c r="E135" s="37">
        <v>2.0</v>
      </c>
      <c r="F135" s="377">
        <f t="shared" si="13"/>
        <v>140</v>
      </c>
      <c r="G135" s="377"/>
      <c r="H135" s="458" t="s">
        <v>1836</v>
      </c>
      <c r="I135" s="458" t="s">
        <v>1837</v>
      </c>
      <c r="J135" s="478"/>
    </row>
    <row r="136">
      <c r="A136" s="464" t="s">
        <v>1823</v>
      </c>
      <c r="B136" s="377">
        <v>1.30205E7</v>
      </c>
      <c r="C136" s="455" t="b">
        <v>1</v>
      </c>
      <c r="D136" s="27" t="s">
        <v>96</v>
      </c>
      <c r="E136" s="37">
        <v>2.0</v>
      </c>
      <c r="F136" s="377">
        <v>30.0</v>
      </c>
      <c r="G136" s="377"/>
      <c r="H136" s="458" t="s">
        <v>1852</v>
      </c>
      <c r="I136" s="458" t="s">
        <v>1853</v>
      </c>
      <c r="J136" s="478"/>
    </row>
    <row r="137">
      <c r="A137" s="464" t="s">
        <v>1823</v>
      </c>
      <c r="B137" s="377">
        <v>1.302051E7</v>
      </c>
      <c r="C137" s="455" t="b">
        <v>1</v>
      </c>
      <c r="D137" s="27" t="s">
        <v>96</v>
      </c>
      <c r="E137" s="37">
        <v>2.0</v>
      </c>
      <c r="F137" s="377">
        <v>0.0</v>
      </c>
      <c r="G137" s="377"/>
      <c r="H137" s="458" t="s">
        <v>1852</v>
      </c>
      <c r="I137" s="458" t="s">
        <v>1300</v>
      </c>
      <c r="J137" s="499" t="s">
        <v>1854</v>
      </c>
    </row>
    <row r="138">
      <c r="A138" s="466"/>
      <c r="B138" s="467"/>
      <c r="C138" s="468" t="b">
        <v>0</v>
      </c>
      <c r="D138" s="34"/>
      <c r="E138" s="76"/>
      <c r="F138" s="469"/>
      <c r="G138" s="469"/>
      <c r="H138" s="469"/>
      <c r="I138" s="469"/>
      <c r="J138" s="478"/>
    </row>
    <row r="139">
      <c r="A139" s="471"/>
      <c r="B139" s="472"/>
      <c r="C139" s="473"/>
      <c r="D139" s="473" t="s">
        <v>101</v>
      </c>
      <c r="E139" s="475">
        <f t="shared" ref="E139:G139" si="14">sum(E134:E138)</f>
        <v>7</v>
      </c>
      <c r="F139" s="476">
        <f t="shared" si="14"/>
        <v>550</v>
      </c>
      <c r="G139" s="507">
        <f t="shared" si="14"/>
        <v>0</v>
      </c>
      <c r="H139" s="477"/>
      <c r="I139" s="477"/>
      <c r="J139" s="478"/>
    </row>
    <row r="140">
      <c r="A140" s="441"/>
      <c r="B140" s="442"/>
      <c r="C140" s="444"/>
      <c r="D140" s="444"/>
      <c r="E140" s="445"/>
      <c r="F140" s="446"/>
      <c r="G140" s="446"/>
      <c r="H140" s="446"/>
      <c r="I140" s="446"/>
      <c r="J140" s="448"/>
    </row>
    <row r="141">
      <c r="A141" s="449" t="s">
        <v>1828</v>
      </c>
      <c r="J141" s="450"/>
    </row>
    <row r="142">
      <c r="A142" s="112" t="s">
        <v>1682</v>
      </c>
      <c r="J142" s="452"/>
    </row>
    <row r="143">
      <c r="A143" s="424" t="s">
        <v>41</v>
      </c>
      <c r="B143" s="28" t="s">
        <v>42</v>
      </c>
      <c r="C143" s="29" t="s">
        <v>43</v>
      </c>
      <c r="D143" s="28" t="s">
        <v>46</v>
      </c>
      <c r="E143" s="29" t="s">
        <v>47</v>
      </c>
      <c r="F143" s="29" t="s">
        <v>48</v>
      </c>
      <c r="G143" s="29" t="s">
        <v>49</v>
      </c>
      <c r="H143" s="29" t="s">
        <v>50</v>
      </c>
      <c r="I143" s="29" t="s">
        <v>51</v>
      </c>
      <c r="J143" s="453" t="s">
        <v>1858</v>
      </c>
    </row>
    <row r="144">
      <c r="A144" s="464" t="s">
        <v>1859</v>
      </c>
      <c r="B144" s="377">
        <v>1.30202E7</v>
      </c>
      <c r="C144" s="468" t="b">
        <v>0</v>
      </c>
      <c r="D144" s="27" t="s">
        <v>58</v>
      </c>
      <c r="E144" s="37">
        <v>1.0</v>
      </c>
      <c r="F144" s="377">
        <f>F124</f>
        <v>380</v>
      </c>
      <c r="G144" s="377"/>
      <c r="H144" s="458" t="s">
        <v>1832</v>
      </c>
      <c r="I144" s="458" t="s">
        <v>1833</v>
      </c>
      <c r="J144" s="478"/>
    </row>
    <row r="145">
      <c r="A145" s="464" t="s">
        <v>1834</v>
      </c>
      <c r="B145" s="377">
        <v>1.302041E7</v>
      </c>
      <c r="C145" s="455" t="b">
        <v>1</v>
      </c>
      <c r="D145" s="27" t="s">
        <v>82</v>
      </c>
      <c r="E145" s="37">
        <v>2.0</v>
      </c>
      <c r="F145" s="377">
        <f>F135</f>
        <v>140</v>
      </c>
      <c r="G145" s="377"/>
      <c r="H145" s="458" t="s">
        <v>1836</v>
      </c>
      <c r="I145" s="458" t="s">
        <v>1837</v>
      </c>
      <c r="J145" s="478"/>
    </row>
    <row r="146">
      <c r="A146" s="464" t="s">
        <v>1862</v>
      </c>
      <c r="B146" s="377">
        <v>1.30205E7</v>
      </c>
      <c r="C146" s="455" t="b">
        <v>1</v>
      </c>
      <c r="D146" s="27" t="s">
        <v>96</v>
      </c>
      <c r="E146" s="37">
        <v>2.0</v>
      </c>
      <c r="F146" s="377">
        <v>15.0</v>
      </c>
      <c r="G146" s="377"/>
      <c r="H146" s="458" t="s">
        <v>1864</v>
      </c>
      <c r="I146" s="458" t="s">
        <v>88</v>
      </c>
      <c r="J146" s="478"/>
    </row>
    <row r="147">
      <c r="A147" s="464" t="s">
        <v>1865</v>
      </c>
      <c r="B147" s="377">
        <v>1.302051E7</v>
      </c>
      <c r="C147" s="455" t="b">
        <v>1</v>
      </c>
      <c r="D147" s="27" t="s">
        <v>96</v>
      </c>
      <c r="E147" s="37">
        <v>2.0</v>
      </c>
      <c r="F147" s="377">
        <v>0.0</v>
      </c>
      <c r="G147" s="377"/>
      <c r="H147" s="458" t="s">
        <v>1864</v>
      </c>
      <c r="I147" s="458" t="s">
        <v>88</v>
      </c>
      <c r="J147" s="499" t="s">
        <v>1866</v>
      </c>
    </row>
    <row r="148">
      <c r="A148" s="466"/>
      <c r="B148" s="467"/>
      <c r="C148" s="468" t="b">
        <v>0</v>
      </c>
      <c r="D148" s="34"/>
      <c r="E148" s="76"/>
      <c r="F148" s="469"/>
      <c r="G148" s="469"/>
      <c r="H148" s="469"/>
      <c r="I148" s="469"/>
      <c r="J148" s="478"/>
    </row>
    <row r="149">
      <c r="A149" s="471"/>
      <c r="B149" s="472"/>
      <c r="C149" s="473"/>
      <c r="D149" s="473" t="s">
        <v>101</v>
      </c>
      <c r="E149" s="475">
        <f t="shared" ref="E149:G149" si="15">sum(E144:E148)</f>
        <v>7</v>
      </c>
      <c r="F149" s="476">
        <f t="shared" si="15"/>
        <v>535</v>
      </c>
      <c r="G149" s="507">
        <f t="shared" si="15"/>
        <v>0</v>
      </c>
      <c r="H149" s="477"/>
      <c r="I149" s="477"/>
      <c r="J149" s="478"/>
    </row>
    <row r="150">
      <c r="A150" s="441"/>
      <c r="B150" s="442"/>
      <c r="C150" s="444"/>
      <c r="D150" s="444"/>
      <c r="E150" s="445"/>
      <c r="F150" s="446"/>
      <c r="G150" s="446"/>
      <c r="H150" s="446"/>
      <c r="I150" s="446"/>
      <c r="J150" s="448"/>
    </row>
    <row r="151">
      <c r="A151" s="449" t="s">
        <v>1846</v>
      </c>
      <c r="J151" s="450"/>
    </row>
    <row r="152">
      <c r="A152" s="451" t="s">
        <v>1871</v>
      </c>
      <c r="I152" s="423"/>
      <c r="J152" s="452"/>
    </row>
    <row r="153">
      <c r="A153" s="424" t="s">
        <v>41</v>
      </c>
      <c r="B153" s="28" t="s">
        <v>42</v>
      </c>
      <c r="C153" s="29" t="s">
        <v>43</v>
      </c>
      <c r="D153" s="28" t="s">
        <v>46</v>
      </c>
      <c r="E153" s="29" t="s">
        <v>47</v>
      </c>
      <c r="F153" s="29" t="s">
        <v>48</v>
      </c>
      <c r="G153" s="29" t="s">
        <v>49</v>
      </c>
      <c r="H153" s="29" t="s">
        <v>50</v>
      </c>
      <c r="I153" s="29" t="s">
        <v>51</v>
      </c>
      <c r="J153" s="453" t="s">
        <v>1873</v>
      </c>
    </row>
    <row r="154">
      <c r="A154" s="464" t="s">
        <v>1859</v>
      </c>
      <c r="B154" s="377">
        <v>1.30202E7</v>
      </c>
      <c r="C154" s="468" t="b">
        <v>0</v>
      </c>
      <c r="D154" s="27" t="s">
        <v>58</v>
      </c>
      <c r="E154" s="37">
        <v>1.0</v>
      </c>
      <c r="F154" s="377">
        <f t="shared" ref="F154:F155" si="16">F144</f>
        <v>380</v>
      </c>
      <c r="G154" s="377"/>
      <c r="H154" s="458" t="s">
        <v>1832</v>
      </c>
      <c r="I154" s="458" t="s">
        <v>1833</v>
      </c>
      <c r="J154" s="478"/>
    </row>
    <row r="155">
      <c r="A155" s="464" t="s">
        <v>1834</v>
      </c>
      <c r="B155" s="377">
        <v>1.302041E7</v>
      </c>
      <c r="C155" s="455" t="b">
        <v>1</v>
      </c>
      <c r="D155" s="27" t="s">
        <v>82</v>
      </c>
      <c r="E155" s="37">
        <v>2.0</v>
      </c>
      <c r="F155" s="377">
        <f t="shared" si="16"/>
        <v>140</v>
      </c>
      <c r="G155" s="377"/>
      <c r="H155" s="458" t="s">
        <v>1836</v>
      </c>
      <c r="I155" s="458" t="s">
        <v>1837</v>
      </c>
      <c r="J155" s="478"/>
    </row>
    <row r="156">
      <c r="A156" s="552" t="s">
        <v>1842</v>
      </c>
      <c r="B156" s="431">
        <v>1.30205E7</v>
      </c>
      <c r="C156" s="338" t="b">
        <v>1</v>
      </c>
      <c r="D156" s="27" t="s">
        <v>96</v>
      </c>
      <c r="E156" s="37">
        <v>2.0</v>
      </c>
      <c r="F156" s="232">
        <v>0.0</v>
      </c>
      <c r="G156" s="377"/>
      <c r="H156" s="458" t="s">
        <v>1636</v>
      </c>
      <c r="I156" s="458" t="s">
        <v>1878</v>
      </c>
      <c r="J156" s="499" t="s">
        <v>1879</v>
      </c>
    </row>
    <row r="157">
      <c r="A157" s="552" t="s">
        <v>1844</v>
      </c>
      <c r="B157" s="431">
        <v>1.302051E7</v>
      </c>
      <c r="C157" s="338" t="b">
        <v>1</v>
      </c>
      <c r="D157" s="27" t="s">
        <v>96</v>
      </c>
      <c r="E157" s="37">
        <v>2.0</v>
      </c>
      <c r="F157" s="232">
        <v>0.0</v>
      </c>
      <c r="G157" s="377"/>
      <c r="H157" s="458" t="s">
        <v>1636</v>
      </c>
      <c r="I157" s="458" t="s">
        <v>1878</v>
      </c>
      <c r="J157" s="499" t="s">
        <v>1845</v>
      </c>
    </row>
    <row r="158">
      <c r="A158" s="471"/>
      <c r="B158" s="472"/>
      <c r="C158" s="473"/>
      <c r="D158" s="473" t="s">
        <v>101</v>
      </c>
      <c r="E158" s="475">
        <f t="shared" ref="E158:F158" si="17">sum(E154:E157)</f>
        <v>7</v>
      </c>
      <c r="F158" s="476">
        <f t="shared" si="17"/>
        <v>520</v>
      </c>
      <c r="G158" s="476">
        <f>sum(G155:G157)</f>
        <v>0</v>
      </c>
      <c r="H158" s="477"/>
      <c r="I158" s="477"/>
      <c r="J158" s="478"/>
    </row>
    <row r="159">
      <c r="A159" s="441"/>
      <c r="B159" s="442"/>
      <c r="C159" s="444"/>
      <c r="D159" s="444"/>
      <c r="E159" s="445"/>
      <c r="F159" s="446"/>
      <c r="G159" s="446"/>
      <c r="H159" s="446"/>
      <c r="I159" s="446"/>
      <c r="J159" s="448"/>
    </row>
    <row r="160">
      <c r="A160" s="449" t="s">
        <v>1855</v>
      </c>
      <c r="J160" s="450"/>
    </row>
    <row r="161">
      <c r="A161" s="451" t="s">
        <v>1719</v>
      </c>
      <c r="I161" s="423"/>
      <c r="J161" s="452"/>
    </row>
    <row r="162">
      <c r="A162" s="424" t="s">
        <v>41</v>
      </c>
      <c r="B162" s="28" t="s">
        <v>42</v>
      </c>
      <c r="C162" s="29" t="s">
        <v>43</v>
      </c>
      <c r="D162" s="28" t="s">
        <v>46</v>
      </c>
      <c r="E162" s="29" t="s">
        <v>47</v>
      </c>
      <c r="F162" s="29" t="s">
        <v>48</v>
      </c>
      <c r="G162" s="29" t="s">
        <v>49</v>
      </c>
      <c r="H162" s="29" t="s">
        <v>50</v>
      </c>
      <c r="I162" s="29" t="s">
        <v>51</v>
      </c>
      <c r="J162" s="453" t="s">
        <v>1887</v>
      </c>
    </row>
    <row r="163">
      <c r="A163" s="464" t="s">
        <v>1725</v>
      </c>
      <c r="B163" s="377">
        <v>1.303225E7</v>
      </c>
      <c r="C163" s="468" t="b">
        <v>0</v>
      </c>
      <c r="D163" s="27" t="s">
        <v>58</v>
      </c>
      <c r="E163" s="37">
        <v>1.0</v>
      </c>
      <c r="F163" s="377">
        <v>0.0</v>
      </c>
      <c r="G163" s="377"/>
      <c r="H163" s="458" t="s">
        <v>1636</v>
      </c>
      <c r="I163" s="458" t="s">
        <v>1878</v>
      </c>
      <c r="J163" s="499" t="s">
        <v>1526</v>
      </c>
    </row>
    <row r="164">
      <c r="A164" s="464" t="s">
        <v>1733</v>
      </c>
      <c r="B164" s="377">
        <v>1.30323E7</v>
      </c>
      <c r="C164" s="468" t="b">
        <v>0</v>
      </c>
      <c r="D164" s="27" t="s">
        <v>71</v>
      </c>
      <c r="E164" s="37">
        <v>2.0</v>
      </c>
      <c r="F164" s="377">
        <v>0.0</v>
      </c>
      <c r="G164" s="377"/>
      <c r="H164" s="458" t="s">
        <v>1636</v>
      </c>
      <c r="I164" s="458" t="s">
        <v>1636</v>
      </c>
      <c r="J164" s="499" t="s">
        <v>1739</v>
      </c>
    </row>
    <row r="165">
      <c r="A165" s="464" t="s">
        <v>1888</v>
      </c>
      <c r="B165" s="377">
        <v>1.30324E7</v>
      </c>
      <c r="C165" s="455" t="b">
        <v>1</v>
      </c>
      <c r="D165" s="27" t="s">
        <v>82</v>
      </c>
      <c r="E165" s="37">
        <v>2.0</v>
      </c>
      <c r="F165" s="377">
        <v>0.0</v>
      </c>
      <c r="G165" s="377"/>
      <c r="H165" s="458" t="s">
        <v>1636</v>
      </c>
      <c r="I165" s="458" t="s">
        <v>1636</v>
      </c>
      <c r="J165" s="499" t="s">
        <v>1743</v>
      </c>
    </row>
    <row r="166">
      <c r="A166" s="464" t="s">
        <v>1886</v>
      </c>
      <c r="B166" s="377">
        <v>1.3033E7</v>
      </c>
      <c r="C166" s="455" t="b">
        <v>1</v>
      </c>
      <c r="D166" s="27" t="s">
        <v>96</v>
      </c>
      <c r="E166" s="37">
        <v>2.0</v>
      </c>
      <c r="F166" s="377">
        <v>0.0</v>
      </c>
      <c r="G166" s="377"/>
      <c r="H166" s="458" t="s">
        <v>1636</v>
      </c>
      <c r="I166" s="458" t="s">
        <v>1636</v>
      </c>
      <c r="J166" s="499" t="s">
        <v>1749</v>
      </c>
    </row>
    <row r="167">
      <c r="A167" s="466"/>
      <c r="B167" s="467"/>
      <c r="C167" s="468" t="b">
        <v>0</v>
      </c>
      <c r="D167" s="34"/>
      <c r="E167" s="76"/>
      <c r="F167" s="469"/>
      <c r="G167" s="469"/>
      <c r="H167" s="469"/>
      <c r="I167" s="469"/>
      <c r="J167" s="463"/>
    </row>
    <row r="168">
      <c r="A168" s="471"/>
      <c r="B168" s="472"/>
      <c r="C168" s="473"/>
      <c r="D168" s="473" t="s">
        <v>101</v>
      </c>
      <c r="E168" s="475">
        <f t="shared" ref="E168:G168" si="18">sum(E163:E167)</f>
        <v>7</v>
      </c>
      <c r="F168" s="476">
        <f t="shared" si="18"/>
        <v>0</v>
      </c>
      <c r="G168" s="507">
        <f t="shared" si="18"/>
        <v>0</v>
      </c>
      <c r="H168" s="477"/>
      <c r="I168" s="477"/>
      <c r="J168" s="478"/>
    </row>
    <row r="169">
      <c r="A169" s="441"/>
      <c r="B169" s="442"/>
      <c r="C169" s="444"/>
      <c r="D169" s="444"/>
      <c r="E169" s="445"/>
      <c r="F169" s="446"/>
      <c r="G169" s="446"/>
      <c r="H169" s="446"/>
      <c r="I169" s="446"/>
      <c r="J169" s="448"/>
    </row>
    <row r="170">
      <c r="A170" s="449" t="s">
        <v>1867</v>
      </c>
      <c r="J170" s="450"/>
    </row>
    <row r="171">
      <c r="A171" s="422" t="s">
        <v>45</v>
      </c>
      <c r="I171" s="423"/>
      <c r="J171" s="452"/>
    </row>
    <row r="172">
      <c r="A172" s="424" t="s">
        <v>41</v>
      </c>
      <c r="B172" s="28" t="s">
        <v>42</v>
      </c>
      <c r="C172" s="29" t="s">
        <v>43</v>
      </c>
      <c r="D172" s="28" t="s">
        <v>46</v>
      </c>
      <c r="E172" s="29" t="s">
        <v>47</v>
      </c>
      <c r="F172" s="29" t="s">
        <v>48</v>
      </c>
      <c r="G172" s="29" t="s">
        <v>49</v>
      </c>
      <c r="H172" s="29" t="s">
        <v>50</v>
      </c>
      <c r="I172" s="29" t="s">
        <v>51</v>
      </c>
      <c r="J172" s="453" t="s">
        <v>1901</v>
      </c>
    </row>
    <row r="173">
      <c r="A173" s="566" t="s">
        <v>55</v>
      </c>
      <c r="B173" s="377">
        <v>1.303955E7</v>
      </c>
      <c r="C173" s="455" t="b">
        <v>1</v>
      </c>
      <c r="D173" s="27" t="s">
        <v>58</v>
      </c>
      <c r="E173" s="37">
        <v>1.0</v>
      </c>
      <c r="F173" s="377">
        <v>0.0</v>
      </c>
      <c r="G173" s="377"/>
      <c r="H173" s="377" t="s">
        <v>1636</v>
      </c>
      <c r="I173" s="377" t="s">
        <v>1636</v>
      </c>
      <c r="J173" s="303" t="s">
        <v>65</v>
      </c>
    </row>
    <row r="174">
      <c r="A174" s="567" t="s">
        <v>1657</v>
      </c>
      <c r="B174" s="377">
        <v>1.30396E7</v>
      </c>
      <c r="C174" s="455" t="b">
        <v>1</v>
      </c>
      <c r="D174" s="27" t="s">
        <v>71</v>
      </c>
      <c r="E174" s="176">
        <v>2.0</v>
      </c>
      <c r="F174" s="377">
        <v>0.0</v>
      </c>
      <c r="G174" s="377"/>
      <c r="H174" s="377" t="s">
        <v>1636</v>
      </c>
      <c r="I174" s="377" t="s">
        <v>1636</v>
      </c>
      <c r="J174" s="513" t="s">
        <v>77</v>
      </c>
    </row>
    <row r="175">
      <c r="A175" s="511" t="s">
        <v>1662</v>
      </c>
      <c r="B175" s="377">
        <v>1.30397E7</v>
      </c>
      <c r="C175" s="455" t="b">
        <v>1</v>
      </c>
      <c r="D175" s="27" t="s">
        <v>82</v>
      </c>
      <c r="E175" s="176">
        <v>2.0</v>
      </c>
      <c r="F175" s="377">
        <v>0.0</v>
      </c>
      <c r="G175" s="377"/>
      <c r="H175" s="377" t="s">
        <v>1636</v>
      </c>
      <c r="I175" s="377" t="s">
        <v>1636</v>
      </c>
      <c r="J175" s="499" t="s">
        <v>90</v>
      </c>
    </row>
    <row r="176">
      <c r="A176" s="511" t="s">
        <v>975</v>
      </c>
      <c r="B176" s="377">
        <v>1.304045E7</v>
      </c>
      <c r="C176" s="455" t="b">
        <v>1</v>
      </c>
      <c r="D176" s="27" t="s">
        <v>96</v>
      </c>
      <c r="E176" s="176">
        <v>2.0</v>
      </c>
      <c r="F176" s="377">
        <v>0.0</v>
      </c>
      <c r="G176" s="377"/>
      <c r="H176" s="377" t="s">
        <v>1636</v>
      </c>
      <c r="I176" s="377" t="s">
        <v>1636</v>
      </c>
      <c r="J176" s="499" t="s">
        <v>90</v>
      </c>
    </row>
    <row r="177">
      <c r="A177" s="471"/>
      <c r="B177" s="472"/>
      <c r="C177" s="473"/>
      <c r="D177" s="473" t="s">
        <v>101</v>
      </c>
      <c r="E177" s="475">
        <f t="shared" ref="E177:G177" si="19">sum(E173:E176)</f>
        <v>7</v>
      </c>
      <c r="F177" s="476">
        <f t="shared" si="19"/>
        <v>0</v>
      </c>
      <c r="G177" s="507">
        <f t="shared" si="19"/>
        <v>0</v>
      </c>
      <c r="H177" s="477"/>
      <c r="I177" s="477"/>
      <c r="J177" s="478"/>
    </row>
    <row r="178">
      <c r="A178" s="441"/>
      <c r="B178" s="442"/>
      <c r="C178" s="444"/>
      <c r="D178" s="444"/>
      <c r="E178" s="445"/>
      <c r="F178" s="446"/>
      <c r="G178" s="446"/>
      <c r="H178" s="446"/>
      <c r="I178" s="446"/>
      <c r="J178" s="448"/>
    </row>
    <row r="179">
      <c r="A179" s="449" t="s">
        <v>1881</v>
      </c>
      <c r="J179" s="450"/>
    </row>
    <row r="180">
      <c r="A180" s="451" t="s">
        <v>1856</v>
      </c>
      <c r="I180" s="423"/>
      <c r="J180" s="452"/>
    </row>
    <row r="181">
      <c r="A181" s="424" t="s">
        <v>41</v>
      </c>
      <c r="B181" s="28" t="s">
        <v>42</v>
      </c>
      <c r="C181" s="29" t="s">
        <v>43</v>
      </c>
      <c r="D181" s="28" t="s">
        <v>46</v>
      </c>
      <c r="E181" s="29" t="s">
        <v>47</v>
      </c>
      <c r="F181" s="29" t="s">
        <v>48</v>
      </c>
      <c r="G181" s="29" t="s">
        <v>49</v>
      </c>
      <c r="H181" s="29" t="s">
        <v>50</v>
      </c>
      <c r="I181" s="29" t="s">
        <v>51</v>
      </c>
      <c r="J181" s="453" t="s">
        <v>1908</v>
      </c>
    </row>
    <row r="182">
      <c r="A182" s="568" t="s">
        <v>504</v>
      </c>
      <c r="B182" s="377">
        <v>1.30202E7</v>
      </c>
      <c r="C182" s="468" t="b">
        <v>0</v>
      </c>
      <c r="D182" s="27" t="s">
        <v>58</v>
      </c>
      <c r="E182" s="176">
        <v>1.0</v>
      </c>
      <c r="F182" s="377">
        <v>380.0</v>
      </c>
      <c r="G182" s="377"/>
      <c r="H182" s="458" t="s">
        <v>1832</v>
      </c>
      <c r="I182" s="458" t="s">
        <v>1833</v>
      </c>
      <c r="J182" s="478"/>
    </row>
    <row r="183">
      <c r="A183" s="568" t="s">
        <v>1834</v>
      </c>
      <c r="B183" s="377">
        <v>1.302041E7</v>
      </c>
      <c r="C183" s="455" t="b">
        <v>1</v>
      </c>
      <c r="D183" s="27" t="s">
        <v>82</v>
      </c>
      <c r="E183" s="176">
        <v>2.0</v>
      </c>
      <c r="F183" s="377">
        <v>140.0</v>
      </c>
      <c r="G183" s="377"/>
      <c r="H183" s="458" t="s">
        <v>1836</v>
      </c>
      <c r="I183" s="458" t="s">
        <v>1837</v>
      </c>
      <c r="J183" s="478"/>
    </row>
    <row r="184">
      <c r="A184" s="464" t="s">
        <v>1860</v>
      </c>
      <c r="B184" s="377">
        <v>1.30205E7</v>
      </c>
      <c r="C184" s="455" t="b">
        <v>1</v>
      </c>
      <c r="D184" s="27" t="s">
        <v>96</v>
      </c>
      <c r="E184" s="37">
        <v>2.0</v>
      </c>
      <c r="F184" s="377">
        <v>0.0</v>
      </c>
      <c r="G184" s="377"/>
      <c r="H184" s="458" t="s">
        <v>1636</v>
      </c>
      <c r="I184" s="458" t="s">
        <v>1878</v>
      </c>
      <c r="J184" s="478"/>
    </row>
    <row r="185">
      <c r="A185" s="464" t="s">
        <v>1861</v>
      </c>
      <c r="B185" s="377">
        <v>1.302051E7</v>
      </c>
      <c r="C185" s="455" t="b">
        <v>1</v>
      </c>
      <c r="D185" s="27" t="s">
        <v>96</v>
      </c>
      <c r="E185" s="37">
        <v>2.0</v>
      </c>
      <c r="F185" s="377">
        <v>0.0</v>
      </c>
      <c r="G185" s="377"/>
      <c r="H185" s="458" t="s">
        <v>1636</v>
      </c>
      <c r="I185" s="458" t="s">
        <v>1913</v>
      </c>
      <c r="J185" s="499" t="s">
        <v>1863</v>
      </c>
    </row>
    <row r="186">
      <c r="A186" s="466"/>
      <c r="B186" s="467"/>
      <c r="C186" s="468" t="b">
        <v>0</v>
      </c>
      <c r="D186" s="34"/>
      <c r="E186" s="76"/>
      <c r="F186" s="469"/>
      <c r="G186" s="377"/>
      <c r="H186" s="377"/>
      <c r="I186" s="469"/>
      <c r="J186" s="478"/>
    </row>
    <row r="187">
      <c r="A187" s="471"/>
      <c r="B187" s="472"/>
      <c r="C187" s="473"/>
      <c r="D187" s="473" t="s">
        <v>101</v>
      </c>
      <c r="E187" s="475">
        <f t="shared" ref="E187:G187" si="20">sum(E182:E186)</f>
        <v>7</v>
      </c>
      <c r="F187" s="476">
        <f t="shared" si="20"/>
        <v>520</v>
      </c>
      <c r="G187" s="507">
        <f t="shared" si="20"/>
        <v>0</v>
      </c>
      <c r="H187" s="477"/>
      <c r="I187" s="477"/>
      <c r="J187" s="478"/>
    </row>
    <row r="188">
      <c r="A188" s="441"/>
      <c r="B188" s="442"/>
      <c r="C188" s="444"/>
      <c r="D188" s="444"/>
      <c r="E188" s="445"/>
      <c r="F188" s="446"/>
      <c r="G188" s="446"/>
      <c r="H188" s="446"/>
      <c r="I188" s="446"/>
      <c r="J188" s="448"/>
    </row>
    <row r="189">
      <c r="A189" s="449" t="s">
        <v>1890</v>
      </c>
      <c r="J189" s="450"/>
    </row>
    <row r="190">
      <c r="A190" s="451" t="s">
        <v>1868</v>
      </c>
      <c r="I190" s="423"/>
      <c r="J190" s="452"/>
    </row>
    <row r="191">
      <c r="A191" s="424" t="s">
        <v>41</v>
      </c>
      <c r="B191" s="28" t="s">
        <v>42</v>
      </c>
      <c r="C191" s="29" t="s">
        <v>43</v>
      </c>
      <c r="D191" s="28" t="s">
        <v>46</v>
      </c>
      <c r="E191" s="29" t="s">
        <v>47</v>
      </c>
      <c r="F191" s="29" t="s">
        <v>48</v>
      </c>
      <c r="G191" s="29" t="s">
        <v>49</v>
      </c>
      <c r="H191" s="29" t="s">
        <v>50</v>
      </c>
      <c r="I191" s="29" t="s">
        <v>51</v>
      </c>
      <c r="J191" s="453" t="s">
        <v>1916</v>
      </c>
    </row>
    <row r="192">
      <c r="A192" s="568" t="s">
        <v>197</v>
      </c>
      <c r="B192" s="570">
        <v>1.302255E7</v>
      </c>
      <c r="C192" s="571" t="b">
        <v>0</v>
      </c>
      <c r="D192" s="331" t="s">
        <v>58</v>
      </c>
      <c r="E192" s="388">
        <v>1.0</v>
      </c>
      <c r="F192" s="458">
        <v>0.0</v>
      </c>
      <c r="G192" s="458"/>
      <c r="H192" s="458" t="s">
        <v>1918</v>
      </c>
      <c r="I192" s="458" t="s">
        <v>88</v>
      </c>
      <c r="J192" s="572" t="s">
        <v>1919</v>
      </c>
    </row>
    <row r="193">
      <c r="A193" s="573" t="s">
        <v>194</v>
      </c>
      <c r="B193" s="574">
        <v>1.30226E7</v>
      </c>
      <c r="C193" s="455" t="b">
        <v>1</v>
      </c>
      <c r="D193" s="175" t="s">
        <v>71</v>
      </c>
      <c r="E193" s="176">
        <v>2.0</v>
      </c>
      <c r="F193" s="377">
        <v>0.0</v>
      </c>
      <c r="G193" s="377"/>
      <c r="H193" s="574"/>
      <c r="I193" s="574"/>
      <c r="J193" s="478"/>
    </row>
    <row r="194">
      <c r="A194" s="573" t="s">
        <v>204</v>
      </c>
      <c r="B194" s="574">
        <v>1.302265E7</v>
      </c>
      <c r="C194" s="455" t="b">
        <v>1</v>
      </c>
      <c r="D194" s="175" t="s">
        <v>82</v>
      </c>
      <c r="E194" s="176">
        <v>2.0</v>
      </c>
      <c r="F194" s="377">
        <v>0.0</v>
      </c>
      <c r="G194" s="377"/>
      <c r="H194" s="574"/>
      <c r="I194" s="574"/>
      <c r="J194" s="478"/>
    </row>
    <row r="195">
      <c r="A195" s="573" t="s">
        <v>211</v>
      </c>
      <c r="B195" s="574">
        <v>1.30227E7</v>
      </c>
      <c r="C195" s="455" t="b">
        <v>0</v>
      </c>
      <c r="D195" s="27" t="s">
        <v>96</v>
      </c>
      <c r="E195" s="37">
        <v>2.0</v>
      </c>
      <c r="F195" s="377">
        <v>0.0</v>
      </c>
      <c r="G195" s="377"/>
      <c r="H195" s="574"/>
      <c r="I195" s="574"/>
      <c r="J195" s="499"/>
    </row>
    <row r="196">
      <c r="A196" s="466"/>
      <c r="B196" s="467"/>
      <c r="C196" s="468" t="b">
        <v>0</v>
      </c>
      <c r="D196" s="34"/>
      <c r="E196" s="76"/>
      <c r="F196" s="469"/>
      <c r="G196" s="469"/>
      <c r="H196" s="469"/>
      <c r="I196" s="469"/>
      <c r="J196" s="478"/>
    </row>
    <row r="197">
      <c r="A197" s="471"/>
      <c r="B197" s="472"/>
      <c r="C197" s="473"/>
      <c r="D197" s="473" t="s">
        <v>101</v>
      </c>
      <c r="E197" s="475">
        <f t="shared" ref="E197:G197" si="21">sum(E192:E196)</f>
        <v>7</v>
      </c>
      <c r="F197" s="476">
        <f t="shared" si="21"/>
        <v>0</v>
      </c>
      <c r="G197" s="507">
        <f t="shared" si="21"/>
        <v>0</v>
      </c>
      <c r="H197" s="477"/>
      <c r="I197" s="477"/>
      <c r="J197" s="478"/>
    </row>
    <row r="198">
      <c r="A198" s="441"/>
      <c r="B198" s="442"/>
      <c r="C198" s="444"/>
      <c r="D198" s="444"/>
      <c r="E198" s="445"/>
      <c r="F198" s="446"/>
      <c r="G198" s="446"/>
      <c r="H198" s="446"/>
      <c r="I198" s="446"/>
      <c r="J198" s="448"/>
    </row>
    <row r="199">
      <c r="A199" s="449" t="s">
        <v>1926</v>
      </c>
      <c r="J199" s="450"/>
    </row>
    <row r="200">
      <c r="A200" s="451" t="s">
        <v>1927</v>
      </c>
      <c r="I200" s="423"/>
      <c r="J200" s="452"/>
    </row>
    <row r="201">
      <c r="A201" s="424" t="s">
        <v>41</v>
      </c>
      <c r="B201" s="28" t="s">
        <v>42</v>
      </c>
      <c r="C201" s="29" t="s">
        <v>43</v>
      </c>
      <c r="D201" s="28" t="s">
        <v>46</v>
      </c>
      <c r="E201" s="29" t="s">
        <v>47</v>
      </c>
      <c r="F201" s="29" t="s">
        <v>48</v>
      </c>
      <c r="G201" s="29" t="s">
        <v>49</v>
      </c>
      <c r="H201" s="29" t="s">
        <v>50</v>
      </c>
      <c r="I201" s="29" t="s">
        <v>51</v>
      </c>
      <c r="J201" s="453" t="s">
        <v>1928</v>
      </c>
    </row>
    <row r="202">
      <c r="A202" s="575" t="s">
        <v>1678</v>
      </c>
      <c r="B202" s="377">
        <v>1.30322E7</v>
      </c>
      <c r="C202" s="455" t="b">
        <v>1</v>
      </c>
      <c r="D202" s="27" t="s">
        <v>58</v>
      </c>
      <c r="E202" s="37">
        <v>1.0</v>
      </c>
      <c r="F202" s="377">
        <v>0.0</v>
      </c>
      <c r="G202" s="377"/>
      <c r="H202" s="458" t="s">
        <v>1636</v>
      </c>
      <c r="I202" s="458" t="s">
        <v>1636</v>
      </c>
      <c r="J202" s="463"/>
    </row>
    <row r="203">
      <c r="A203" s="575" t="s">
        <v>1885</v>
      </c>
      <c r="B203" s="377">
        <v>1.3037E7</v>
      </c>
      <c r="C203" s="455" t="b">
        <v>1</v>
      </c>
      <c r="D203" s="27" t="s">
        <v>71</v>
      </c>
      <c r="E203" s="37">
        <v>1.0</v>
      </c>
      <c r="F203" s="377">
        <v>0.0</v>
      </c>
      <c r="G203" s="377"/>
      <c r="H203" s="458" t="s">
        <v>1636</v>
      </c>
      <c r="I203" s="458" t="s">
        <v>1636</v>
      </c>
      <c r="J203" s="499" t="s">
        <v>1930</v>
      </c>
    </row>
    <row r="204">
      <c r="A204" s="575" t="s">
        <v>1602</v>
      </c>
      <c r="B204" s="377">
        <v>1.303705E7</v>
      </c>
      <c r="C204" s="455" t="b">
        <v>1</v>
      </c>
      <c r="D204" s="27" t="s">
        <v>82</v>
      </c>
      <c r="E204" s="37">
        <v>1.0</v>
      </c>
      <c r="F204" s="377">
        <v>0.0</v>
      </c>
      <c r="G204" s="377"/>
      <c r="H204" s="458" t="s">
        <v>1636</v>
      </c>
      <c r="I204" s="458" t="s">
        <v>1636</v>
      </c>
      <c r="J204" s="499" t="s">
        <v>1601</v>
      </c>
    </row>
    <row r="205">
      <c r="A205" s="464" t="s">
        <v>1886</v>
      </c>
      <c r="B205" s="377">
        <v>1.3033E7</v>
      </c>
      <c r="C205" s="455" t="b">
        <v>0</v>
      </c>
      <c r="D205" s="27" t="s">
        <v>96</v>
      </c>
      <c r="E205" s="37">
        <v>2.0</v>
      </c>
      <c r="F205" s="377">
        <v>0.0</v>
      </c>
      <c r="G205" s="377"/>
      <c r="H205" s="458" t="s">
        <v>1636</v>
      </c>
      <c r="I205" s="458" t="s">
        <v>1636</v>
      </c>
      <c r="J205" s="499" t="s">
        <v>1601</v>
      </c>
    </row>
    <row r="206">
      <c r="A206" s="480"/>
      <c r="B206" s="377"/>
      <c r="C206" s="455" t="b">
        <v>0</v>
      </c>
      <c r="D206" s="27"/>
      <c r="E206" s="37"/>
      <c r="F206" s="469"/>
      <c r="G206" s="469"/>
      <c r="H206" s="469"/>
      <c r="I206" s="469"/>
      <c r="J206" s="478"/>
    </row>
    <row r="207">
      <c r="A207" s="471"/>
      <c r="B207" s="472"/>
      <c r="C207" s="473"/>
      <c r="D207" s="473" t="s">
        <v>101</v>
      </c>
      <c r="E207" s="475">
        <f t="shared" ref="E207:F207" si="22">sum(E202:E205)</f>
        <v>5</v>
      </c>
      <c r="F207" s="476">
        <f t="shared" si="22"/>
        <v>0</v>
      </c>
      <c r="G207" s="476"/>
      <c r="H207" s="477"/>
      <c r="I207" s="477"/>
      <c r="J207" s="478"/>
    </row>
    <row r="208">
      <c r="A208" s="441"/>
      <c r="B208" s="442"/>
      <c r="C208" s="444"/>
      <c r="D208" s="444"/>
      <c r="E208" s="576"/>
      <c r="F208" s="577"/>
      <c r="G208" s="577"/>
      <c r="H208" s="446"/>
      <c r="I208" s="446"/>
      <c r="J208" s="448"/>
    </row>
    <row r="209">
      <c r="A209" s="449" t="s">
        <v>1933</v>
      </c>
      <c r="J209" s="450"/>
    </row>
    <row r="210">
      <c r="A210" s="28" t="s">
        <v>41</v>
      </c>
      <c r="B210" s="28" t="s">
        <v>42</v>
      </c>
      <c r="C210" s="29" t="s">
        <v>43</v>
      </c>
      <c r="D210" s="28" t="s">
        <v>46</v>
      </c>
      <c r="E210" s="29" t="s">
        <v>47</v>
      </c>
      <c r="F210" s="29" t="s">
        <v>48</v>
      </c>
      <c r="G210" s="29" t="s">
        <v>49</v>
      </c>
      <c r="H210" s="29" t="s">
        <v>50</v>
      </c>
      <c r="I210" s="29" t="s">
        <v>51</v>
      </c>
      <c r="J210" s="157" t="s">
        <v>1935</v>
      </c>
    </row>
    <row r="211">
      <c r="A211" s="480" t="s">
        <v>413</v>
      </c>
      <c r="B211" s="377">
        <v>1.30344E7</v>
      </c>
      <c r="C211" s="338" t="b">
        <v>1</v>
      </c>
      <c r="D211" s="27" t="s">
        <v>71</v>
      </c>
      <c r="E211" s="37">
        <v>1.0</v>
      </c>
      <c r="F211" s="377">
        <v>40.0</v>
      </c>
      <c r="G211" s="377"/>
      <c r="H211" s="377" t="s">
        <v>1936</v>
      </c>
      <c r="I211" s="580" t="s">
        <v>1937</v>
      </c>
      <c r="J211" s="499" t="s">
        <v>75</v>
      </c>
    </row>
    <row r="212">
      <c r="A212" s="166"/>
      <c r="B212" s="276"/>
      <c r="C212" s="276"/>
      <c r="D212" s="276"/>
      <c r="E212" s="166"/>
      <c r="F212" s="278"/>
      <c r="G212" s="278"/>
      <c r="H212" s="432"/>
      <c r="I212" s="433"/>
      <c r="J212" s="434"/>
    </row>
    <row r="213">
      <c r="A213" s="564"/>
      <c r="J213" s="465"/>
    </row>
    <row r="214">
      <c r="A214" s="583" t="s">
        <v>1940</v>
      </c>
      <c r="I214" s="423"/>
      <c r="J214" s="208"/>
    </row>
    <row r="215">
      <c r="A215" s="28" t="s">
        <v>41</v>
      </c>
      <c r="B215" s="28" t="s">
        <v>42</v>
      </c>
      <c r="C215" s="29" t="s">
        <v>43</v>
      </c>
      <c r="D215" s="28" t="s">
        <v>46</v>
      </c>
      <c r="E215" s="29" t="s">
        <v>47</v>
      </c>
      <c r="F215" s="29" t="s">
        <v>48</v>
      </c>
      <c r="G215" s="29" t="s">
        <v>49</v>
      </c>
      <c r="H215" s="29" t="s">
        <v>50</v>
      </c>
      <c r="I215" s="29" t="s">
        <v>51</v>
      </c>
      <c r="J215" s="157" t="s">
        <v>1942</v>
      </c>
    </row>
    <row r="216">
      <c r="A216" s="483" t="s">
        <v>1678</v>
      </c>
      <c r="B216" s="27">
        <v>1.30322E7</v>
      </c>
      <c r="C216" s="338" t="b">
        <v>0</v>
      </c>
      <c r="D216" s="27" t="s">
        <v>58</v>
      </c>
      <c r="E216" s="37">
        <v>1.0</v>
      </c>
      <c r="F216" s="470"/>
      <c r="G216" s="470"/>
      <c r="H216" s="238" t="s">
        <v>1943</v>
      </c>
      <c r="I216" s="232" t="s">
        <v>1775</v>
      </c>
      <c r="J216" s="443" t="s">
        <v>1684</v>
      </c>
    </row>
    <row r="217">
      <c r="A217" s="483" t="s">
        <v>1945</v>
      </c>
      <c r="B217" s="106">
        <v>1.30368E7</v>
      </c>
      <c r="C217" s="338" t="b">
        <v>0</v>
      </c>
      <c r="D217" s="27" t="s">
        <v>71</v>
      </c>
      <c r="E217" s="37">
        <v>2.0</v>
      </c>
      <c r="F217" s="470"/>
      <c r="G217" s="470"/>
      <c r="H217" s="238" t="s">
        <v>1600</v>
      </c>
      <c r="I217" s="232" t="s">
        <v>547</v>
      </c>
      <c r="J217" s="443" t="s">
        <v>1688</v>
      </c>
    </row>
    <row r="218">
      <c r="A218" s="483" t="s">
        <v>576</v>
      </c>
      <c r="B218" s="106">
        <v>1.30376E7</v>
      </c>
      <c r="C218" s="338" t="b">
        <v>1</v>
      </c>
      <c r="D218" s="27" t="s">
        <v>82</v>
      </c>
      <c r="E218" s="37">
        <v>1.0</v>
      </c>
      <c r="F218" s="470"/>
      <c r="G218" s="470"/>
      <c r="H218" s="238" t="s">
        <v>1947</v>
      </c>
      <c r="I218" s="238" t="s">
        <v>1947</v>
      </c>
      <c r="J218" s="443"/>
    </row>
    <row r="219">
      <c r="A219" s="483" t="s">
        <v>1691</v>
      </c>
      <c r="B219" s="106">
        <v>1.30369E7</v>
      </c>
      <c r="C219" s="338" t="b">
        <v>1</v>
      </c>
      <c r="D219" s="27" t="s">
        <v>82</v>
      </c>
      <c r="E219" s="37">
        <v>1.0</v>
      </c>
      <c r="F219" s="470"/>
      <c r="G219" s="470"/>
      <c r="H219" s="238" t="s">
        <v>1947</v>
      </c>
      <c r="I219" s="238" t="s">
        <v>1947</v>
      </c>
      <c r="J219" s="443"/>
    </row>
    <row r="220">
      <c r="A220" s="548" t="s">
        <v>1886</v>
      </c>
      <c r="B220" s="106">
        <v>1.3033E7</v>
      </c>
      <c r="C220" s="338" t="b">
        <v>1</v>
      </c>
      <c r="D220" s="27" t="s">
        <v>96</v>
      </c>
      <c r="E220" s="37">
        <v>2.0</v>
      </c>
      <c r="F220" s="470"/>
      <c r="G220" s="470"/>
      <c r="H220" s="238" t="s">
        <v>1948</v>
      </c>
      <c r="I220" s="238" t="s">
        <v>1948</v>
      </c>
      <c r="J220" s="474"/>
    </row>
    <row r="221">
      <c r="A221" s="126"/>
      <c r="B221" s="242"/>
      <c r="C221" s="242"/>
      <c r="D221" s="242" t="s">
        <v>101</v>
      </c>
      <c r="E221" s="165">
        <f>sum(E216:E220)</f>
        <v>7</v>
      </c>
      <c r="F221" s="165">
        <f t="shared" ref="F221:G221" si="23">SUM(F216:F220)</f>
        <v>0</v>
      </c>
      <c r="G221" s="165">
        <f t="shared" si="23"/>
        <v>0</v>
      </c>
      <c r="H221" s="585" t="s">
        <v>1600</v>
      </c>
      <c r="I221" s="303" t="s">
        <v>547</v>
      </c>
      <c r="J221" s="474"/>
    </row>
    <row r="222">
      <c r="A222" s="166"/>
      <c r="B222" s="276"/>
      <c r="C222" s="276"/>
      <c r="D222" s="276"/>
      <c r="E222" s="166"/>
      <c r="F222" s="278"/>
      <c r="G222" s="278"/>
      <c r="H222" s="432"/>
      <c r="I222" s="433"/>
      <c r="J222" s="434"/>
    </row>
    <row r="223">
      <c r="A223" s="26"/>
      <c r="J223" s="26"/>
    </row>
    <row r="224">
      <c r="A224" s="101" t="s">
        <v>1950</v>
      </c>
      <c r="J224" s="27"/>
    </row>
    <row r="225">
      <c r="A225" s="28" t="s">
        <v>41</v>
      </c>
      <c r="B225" s="28" t="s">
        <v>42</v>
      </c>
      <c r="C225" s="29" t="s">
        <v>43</v>
      </c>
      <c r="D225" s="28" t="s">
        <v>46</v>
      </c>
      <c r="E225" s="29" t="s">
        <v>47</v>
      </c>
      <c r="F225" s="29" t="s">
        <v>48</v>
      </c>
      <c r="G225" s="29" t="s">
        <v>49</v>
      </c>
      <c r="H225" s="29" t="s">
        <v>50</v>
      </c>
      <c r="I225" s="29" t="s">
        <v>51</v>
      </c>
      <c r="J225" s="29" t="s">
        <v>1952</v>
      </c>
    </row>
    <row r="226">
      <c r="A226" s="33" t="s">
        <v>55</v>
      </c>
      <c r="B226" s="27">
        <v>1.303955E7</v>
      </c>
      <c r="C226" s="34" t="b">
        <v>0</v>
      </c>
      <c r="D226" s="27" t="s">
        <v>58</v>
      </c>
      <c r="E226" s="37">
        <v>1.0</v>
      </c>
      <c r="F226" s="37">
        <v>50.0</v>
      </c>
      <c r="G226" s="37"/>
      <c r="H226" s="37" t="s">
        <v>333</v>
      </c>
      <c r="I226" s="76"/>
      <c r="J226" s="42" t="s">
        <v>65</v>
      </c>
    </row>
    <row r="227">
      <c r="A227" s="33" t="s">
        <v>69</v>
      </c>
      <c r="B227" s="27">
        <v>1.30396E7</v>
      </c>
      <c r="C227" s="27" t="b">
        <v>1</v>
      </c>
      <c r="D227" s="27" t="s">
        <v>71</v>
      </c>
      <c r="E227" s="37">
        <v>2.0</v>
      </c>
      <c r="F227" s="37">
        <v>50.0</v>
      </c>
      <c r="G227" s="76"/>
      <c r="H227" s="37" t="s">
        <v>1417</v>
      </c>
      <c r="I227" s="76"/>
      <c r="J227" s="42" t="s">
        <v>1953</v>
      </c>
    </row>
    <row r="228">
      <c r="A228" s="33" t="s">
        <v>80</v>
      </c>
      <c r="B228" s="27">
        <v>1.30397E7</v>
      </c>
      <c r="C228" s="27" t="b">
        <v>1</v>
      </c>
      <c r="D228" s="27" t="s">
        <v>82</v>
      </c>
      <c r="E228" s="37">
        <v>2.0</v>
      </c>
      <c r="F228" s="37">
        <v>50.0</v>
      </c>
      <c r="G228" s="37"/>
      <c r="H228" s="37" t="s">
        <v>1417</v>
      </c>
      <c r="I228" s="76"/>
      <c r="J228" s="42" t="s">
        <v>90</v>
      </c>
    </row>
    <row r="229">
      <c r="A229" s="33" t="s">
        <v>92</v>
      </c>
      <c r="B229" s="27">
        <v>1.3040455E7</v>
      </c>
      <c r="C229" s="27" t="b">
        <v>1</v>
      </c>
      <c r="D229" s="27" t="s">
        <v>96</v>
      </c>
      <c r="E229" s="37">
        <v>2.0</v>
      </c>
      <c r="F229" s="37">
        <v>50.0</v>
      </c>
      <c r="G229" s="76"/>
      <c r="H229" s="37" t="s">
        <v>1417</v>
      </c>
      <c r="I229" s="76"/>
      <c r="J229" s="42" t="s">
        <v>90</v>
      </c>
    </row>
    <row r="230">
      <c r="A230" s="51"/>
      <c r="B230" s="52"/>
      <c r="C230" s="52"/>
      <c r="D230" s="52" t="s">
        <v>101</v>
      </c>
      <c r="E230" s="54">
        <f t="shared" ref="E230:G230" si="24">sum(E226:E229)</f>
        <v>7</v>
      </c>
      <c r="F230" s="54">
        <f t="shared" si="24"/>
        <v>200</v>
      </c>
      <c r="G230" s="54">
        <f t="shared" si="24"/>
        <v>0</v>
      </c>
      <c r="H230" s="54"/>
      <c r="I230" s="54"/>
      <c r="J230" s="56"/>
    </row>
    <row r="231">
      <c r="A231" s="26"/>
      <c r="J231" s="26"/>
    </row>
    <row r="232">
      <c r="A232" s="27"/>
      <c r="J232" s="27"/>
    </row>
    <row r="233">
      <c r="A233" s="28"/>
      <c r="B233" s="28"/>
      <c r="C233" s="29"/>
      <c r="D233" s="28"/>
      <c r="E233" s="29"/>
      <c r="F233" s="29"/>
      <c r="G233" s="29"/>
      <c r="H233" s="29"/>
      <c r="I233" s="29"/>
      <c r="J233" s="29"/>
    </row>
    <row r="234">
      <c r="A234" s="33"/>
      <c r="B234" s="27"/>
      <c r="C234" s="27"/>
      <c r="D234" s="27"/>
      <c r="E234" s="37"/>
      <c r="F234" s="37"/>
      <c r="G234" s="37"/>
      <c r="H234" s="37"/>
      <c r="I234" s="37"/>
      <c r="J234" s="42"/>
    </row>
    <row r="235">
      <c r="A235" s="33"/>
      <c r="B235" s="27"/>
      <c r="C235" s="27"/>
      <c r="D235" s="27"/>
      <c r="E235" s="37"/>
      <c r="F235" s="37"/>
      <c r="G235" s="37"/>
      <c r="H235" s="37"/>
      <c r="I235" s="37"/>
      <c r="J235" s="42"/>
    </row>
    <row r="236">
      <c r="A236" s="33"/>
      <c r="B236" s="27"/>
      <c r="C236" s="27"/>
      <c r="D236" s="27"/>
      <c r="E236" s="37"/>
      <c r="F236" s="37"/>
      <c r="G236" s="37"/>
      <c r="H236" s="37"/>
      <c r="I236" s="37"/>
      <c r="J236" s="42"/>
    </row>
    <row r="237">
      <c r="A237" s="51"/>
      <c r="B237" s="52"/>
      <c r="C237" s="52"/>
      <c r="D237" s="52" t="s">
        <v>101</v>
      </c>
      <c r="E237" s="54">
        <f t="shared" ref="E237:F237" si="25">sum(E234:E235)</f>
        <v>0</v>
      </c>
      <c r="F237" s="54">
        <f t="shared" si="25"/>
        <v>0</v>
      </c>
      <c r="G237" s="54"/>
      <c r="H237" s="54"/>
      <c r="I237" s="54"/>
      <c r="J237" s="56"/>
    </row>
    <row r="238">
      <c r="A238" s="126"/>
      <c r="B238" s="242"/>
      <c r="C238" s="242"/>
      <c r="D238" s="242"/>
      <c r="E238" s="165"/>
      <c r="F238" s="165"/>
      <c r="G238" s="165"/>
      <c r="H238" s="482"/>
      <c r="I238" s="210"/>
      <c r="J238" s="474"/>
    </row>
  </sheetData>
  <mergeCells count="56">
    <mergeCell ref="A1:I1"/>
    <mergeCell ref="B2:I2"/>
    <mergeCell ref="J2:J3"/>
    <mergeCell ref="B3:I3"/>
    <mergeCell ref="B4:I4"/>
    <mergeCell ref="B5:I5"/>
    <mergeCell ref="J5:J6"/>
    <mergeCell ref="B6:I6"/>
    <mergeCell ref="B7:I7"/>
    <mergeCell ref="A9:I9"/>
    <mergeCell ref="A10:I10"/>
    <mergeCell ref="A18:I18"/>
    <mergeCell ref="A19:I19"/>
    <mergeCell ref="A27:I27"/>
    <mergeCell ref="A28:I28"/>
    <mergeCell ref="A36:I36"/>
    <mergeCell ref="A37:I37"/>
    <mergeCell ref="A45:I45"/>
    <mergeCell ref="A46:I46"/>
    <mergeCell ref="A55:I55"/>
    <mergeCell ref="A56:I56"/>
    <mergeCell ref="A64:I64"/>
    <mergeCell ref="A65:I65"/>
    <mergeCell ref="A76:I76"/>
    <mergeCell ref="A77:I77"/>
    <mergeCell ref="A88:I88"/>
    <mergeCell ref="A89:I89"/>
    <mergeCell ref="A99:I99"/>
    <mergeCell ref="A100:I100"/>
    <mergeCell ref="A109:I109"/>
    <mergeCell ref="A110:I110"/>
    <mergeCell ref="A121:I121"/>
    <mergeCell ref="A122:I122"/>
    <mergeCell ref="A131:I131"/>
    <mergeCell ref="A132:I132"/>
    <mergeCell ref="A141:I141"/>
    <mergeCell ref="A142:I142"/>
    <mergeCell ref="A151:I151"/>
    <mergeCell ref="A152:I152"/>
    <mergeCell ref="A160:I160"/>
    <mergeCell ref="A161:I161"/>
    <mergeCell ref="A170:I170"/>
    <mergeCell ref="A209:I209"/>
    <mergeCell ref="A213:I213"/>
    <mergeCell ref="A214:I214"/>
    <mergeCell ref="A223:I223"/>
    <mergeCell ref="A224:I224"/>
    <mergeCell ref="A231:I231"/>
    <mergeCell ref="A232:I232"/>
    <mergeCell ref="A171:I171"/>
    <mergeCell ref="A179:I179"/>
    <mergeCell ref="A180:I180"/>
    <mergeCell ref="A189:I189"/>
    <mergeCell ref="A190:I190"/>
    <mergeCell ref="A199:I199"/>
    <mergeCell ref="A200:I200"/>
  </mergeCells>
  <dataValidations>
    <dataValidation type="list" allowBlank="1" sqref="D12:D15 D21:D24 D30:D33 D39:D42 D48:D52 D58:D61 D67:D73 D79:D85 D91:D96 D102:D106 D112:D118 D124:D128 D134:D138 D144:D148 D154:D157 D163:D167 D173:D176 D182:D186 D192:D196 D202:D206 D211 D216:D220 D226:D229 D234:D236">
      <formula1>'Data Validation'!$A$2:$A$5</formula1>
    </dataValidation>
    <dataValidation type="list" allowBlank="1" sqref="E12:E15 E21:E24 E30:E33 E39:E42 E48:E52 E58:E61 E67:E73 E79:E85 E91:E96 E102:E106 E112:E118 E124:E128 E134:E138 E144:E148 E154:E157 E163:E167 E173:E176 E182:E186 E192:E196 E202:E206 E211 E216:E220 E226:E229 E234:E236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079" footer="0.0" header="0.0" left="0.10469068660774984" right="0.11" top="0.6"/>
  <pageSetup fitToHeight="0" cellComments="atEnd" orientation="landscape" pageOrder="overThenDown"/>
  <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7" width="8.88"/>
    <col customWidth="1" min="8" max="8" width="22.63"/>
    <col customWidth="1" min="9" max="9" width="36.0"/>
    <col customWidth="1" min="10" max="10" width="66.5"/>
  </cols>
  <sheetData>
    <row r="1" ht="66.75" customHeight="1">
      <c r="A1" s="1" t="s">
        <v>1532</v>
      </c>
      <c r="J1" s="102" t="s">
        <v>0</v>
      </c>
    </row>
    <row r="2">
      <c r="A2" s="3" t="s">
        <v>2</v>
      </c>
      <c r="B2" s="101" t="s">
        <v>298</v>
      </c>
      <c r="J2" s="104" t="s">
        <v>6</v>
      </c>
    </row>
    <row r="3">
      <c r="A3" s="3" t="s">
        <v>14</v>
      </c>
      <c r="B3" s="101" t="s">
        <v>1540</v>
      </c>
    </row>
    <row r="4">
      <c r="A4" s="3" t="s">
        <v>1475</v>
      </c>
      <c r="B4" s="101" t="s">
        <v>1476</v>
      </c>
      <c r="J4" s="105" t="s">
        <v>20</v>
      </c>
    </row>
    <row r="5">
      <c r="A5" s="3" t="s">
        <v>26</v>
      </c>
      <c r="B5" s="101">
        <v>8.0</v>
      </c>
      <c r="J5" s="105" t="s">
        <v>30</v>
      </c>
    </row>
    <row r="6">
      <c r="A6" s="3" t="s">
        <v>34</v>
      </c>
      <c r="B6" s="101">
        <v>3.0</v>
      </c>
    </row>
    <row r="7">
      <c r="A7" s="3" t="s">
        <v>36</v>
      </c>
      <c r="B7" s="430" t="s">
        <v>1550</v>
      </c>
      <c r="J7" s="107"/>
    </row>
    <row r="8" ht="7.5" customHeight="1">
      <c r="A8" s="23"/>
      <c r="B8" s="419"/>
      <c r="C8" s="23"/>
      <c r="D8" s="23"/>
      <c r="E8" s="25"/>
      <c r="F8" s="23"/>
      <c r="G8" s="23"/>
      <c r="H8" s="23"/>
      <c r="I8" s="25"/>
      <c r="J8" s="108"/>
    </row>
    <row r="9" ht="18.75" customHeight="1">
      <c r="A9" s="26" t="s">
        <v>1271</v>
      </c>
      <c r="J9" s="109"/>
    </row>
    <row r="10" ht="18.75" customHeight="1">
      <c r="A10" s="101" t="s">
        <v>1496</v>
      </c>
      <c r="J10" s="110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48</v>
      </c>
      <c r="G11" s="29" t="s">
        <v>49</v>
      </c>
      <c r="H11" s="29" t="s">
        <v>50</v>
      </c>
      <c r="I11" s="29" t="s">
        <v>51</v>
      </c>
      <c r="J11" s="113" t="s">
        <v>1552</v>
      </c>
    </row>
    <row r="12">
      <c r="A12" s="425" t="s">
        <v>1502</v>
      </c>
      <c r="B12" s="27">
        <v>1.300422E7</v>
      </c>
      <c r="C12" s="27" t="b">
        <v>1</v>
      </c>
      <c r="D12" s="27" t="s">
        <v>58</v>
      </c>
      <c r="E12" s="37">
        <v>1.0</v>
      </c>
      <c r="F12" s="37">
        <v>50.0</v>
      </c>
      <c r="G12" s="37"/>
      <c r="H12" s="37" t="s">
        <v>1556</v>
      </c>
      <c r="I12" s="37" t="s">
        <v>1557</v>
      </c>
      <c r="J12" s="145" t="s">
        <v>1526</v>
      </c>
    </row>
    <row r="13">
      <c r="A13" s="425" t="s">
        <v>1506</v>
      </c>
      <c r="B13" s="175">
        <v>1.30051E7</v>
      </c>
      <c r="C13" s="27" t="b">
        <v>1</v>
      </c>
      <c r="D13" s="27" t="s">
        <v>71</v>
      </c>
      <c r="E13" s="37">
        <v>2.0</v>
      </c>
      <c r="F13" s="37">
        <v>0.0</v>
      </c>
      <c r="G13" s="37"/>
      <c r="H13" s="37"/>
      <c r="I13" s="37"/>
      <c r="J13" s="145" t="s">
        <v>1560</v>
      </c>
    </row>
    <row r="14">
      <c r="A14" s="425" t="s">
        <v>1491</v>
      </c>
      <c r="B14" s="175">
        <v>1.30052E7</v>
      </c>
      <c r="C14" s="27" t="b">
        <v>1</v>
      </c>
      <c r="D14" s="27" t="s">
        <v>82</v>
      </c>
      <c r="E14" s="37">
        <v>2.0</v>
      </c>
      <c r="F14" s="37">
        <v>30.0</v>
      </c>
      <c r="G14" s="37"/>
      <c r="H14" s="37" t="s">
        <v>1562</v>
      </c>
      <c r="I14" s="37" t="s">
        <v>88</v>
      </c>
      <c r="J14" s="145" t="s">
        <v>1565</v>
      </c>
    </row>
    <row r="15">
      <c r="A15" s="425" t="s">
        <v>1494</v>
      </c>
      <c r="B15" s="27">
        <v>1.300525E7</v>
      </c>
      <c r="C15" s="27" t="b">
        <v>1</v>
      </c>
      <c r="D15" s="27" t="s">
        <v>96</v>
      </c>
      <c r="E15" s="37">
        <v>2.0</v>
      </c>
      <c r="F15" s="37">
        <v>15.0</v>
      </c>
      <c r="G15" s="37"/>
      <c r="H15" s="37" t="s">
        <v>1568</v>
      </c>
      <c r="I15" s="37" t="s">
        <v>1295</v>
      </c>
      <c r="J15" s="145"/>
    </row>
    <row r="16">
      <c r="A16" s="51"/>
      <c r="B16" s="426"/>
      <c r="C16" s="52"/>
      <c r="D16" s="52" t="s">
        <v>101</v>
      </c>
      <c r="E16" s="420">
        <f t="shared" ref="E16:F16" si="1">sum(E12:E15)</f>
        <v>7</v>
      </c>
      <c r="F16" s="420">
        <f t="shared" si="1"/>
        <v>95</v>
      </c>
      <c r="G16" s="420"/>
      <c r="H16" s="54"/>
      <c r="I16" s="54"/>
      <c r="J16" s="133"/>
    </row>
    <row r="17" ht="7.5" customHeight="1">
      <c r="A17" s="23"/>
      <c r="B17" s="419"/>
      <c r="C17" s="23"/>
      <c r="D17" s="23"/>
      <c r="E17" s="25"/>
      <c r="F17" s="23"/>
      <c r="G17" s="23"/>
      <c r="H17" s="23"/>
      <c r="I17" s="25"/>
      <c r="J17" s="108"/>
    </row>
    <row r="18" ht="18.75" customHeight="1">
      <c r="A18" s="26" t="s">
        <v>135</v>
      </c>
      <c r="J18" s="109"/>
    </row>
    <row r="19" ht="18.75" customHeight="1">
      <c r="A19" s="101" t="s">
        <v>1524</v>
      </c>
      <c r="J19" s="110"/>
    </row>
    <row r="20">
      <c r="A20" s="28" t="s">
        <v>41</v>
      </c>
      <c r="B20" s="28" t="s">
        <v>42</v>
      </c>
      <c r="C20" s="29" t="s">
        <v>43</v>
      </c>
      <c r="D20" s="28" t="s">
        <v>46</v>
      </c>
      <c r="E20" s="29" t="s">
        <v>47</v>
      </c>
      <c r="F20" s="29" t="s">
        <v>48</v>
      </c>
      <c r="G20" s="29" t="s">
        <v>49</v>
      </c>
      <c r="H20" s="29" t="s">
        <v>50</v>
      </c>
      <c r="I20" s="29" t="s">
        <v>51</v>
      </c>
      <c r="J20" s="113" t="s">
        <v>1573</v>
      </c>
    </row>
    <row r="21">
      <c r="A21" s="425" t="s">
        <v>1502</v>
      </c>
      <c r="B21" s="175">
        <v>1.300422E7</v>
      </c>
      <c r="C21" s="27" t="b">
        <v>1</v>
      </c>
      <c r="D21" s="27" t="s">
        <v>58</v>
      </c>
      <c r="E21" s="37">
        <v>1.0</v>
      </c>
      <c r="F21" s="37">
        <v>50.0</v>
      </c>
      <c r="G21" s="37"/>
      <c r="H21" s="194" t="s">
        <v>1556</v>
      </c>
      <c r="I21" s="238" t="s">
        <v>1557</v>
      </c>
      <c r="J21" s="145" t="s">
        <v>1486</v>
      </c>
    </row>
    <row r="22">
      <c r="A22" s="425" t="s">
        <v>1576</v>
      </c>
      <c r="B22" s="175">
        <v>1.30058E7</v>
      </c>
      <c r="C22" s="27" t="b">
        <v>1</v>
      </c>
      <c r="D22" s="27" t="s">
        <v>71</v>
      </c>
      <c r="E22" s="37">
        <v>1.0</v>
      </c>
      <c r="F22" s="37">
        <v>60.0</v>
      </c>
      <c r="G22" s="37"/>
      <c r="H22" s="37" t="s">
        <v>1578</v>
      </c>
      <c r="I22" s="37" t="s">
        <v>88</v>
      </c>
      <c r="J22" s="145" t="s">
        <v>1545</v>
      </c>
    </row>
    <row r="23">
      <c r="A23" s="425" t="s">
        <v>1580</v>
      </c>
      <c r="B23" s="175">
        <v>1.30059E7</v>
      </c>
      <c r="C23" s="27" t="b">
        <v>1</v>
      </c>
      <c r="D23" s="27" t="s">
        <v>82</v>
      </c>
      <c r="E23" s="37">
        <v>2.0</v>
      </c>
      <c r="F23" s="37">
        <v>60.0</v>
      </c>
      <c r="G23" s="37"/>
      <c r="H23" s="37" t="s">
        <v>1585</v>
      </c>
      <c r="I23" s="37" t="s">
        <v>88</v>
      </c>
      <c r="J23" s="145" t="s">
        <v>1549</v>
      </c>
    </row>
    <row r="24">
      <c r="A24" s="425" t="s">
        <v>1494</v>
      </c>
      <c r="B24" s="175">
        <v>1.300525E7</v>
      </c>
      <c r="C24" s="27" t="b">
        <v>1</v>
      </c>
      <c r="D24" s="27" t="s">
        <v>96</v>
      </c>
      <c r="E24" s="37">
        <v>2.0</v>
      </c>
      <c r="F24" s="37">
        <v>15.0</v>
      </c>
      <c r="G24" s="37"/>
      <c r="H24" s="37" t="s">
        <v>1568</v>
      </c>
      <c r="I24" s="37" t="s">
        <v>1295</v>
      </c>
      <c r="J24" s="439" t="s">
        <v>1521</v>
      </c>
    </row>
    <row r="25">
      <c r="A25" s="51"/>
      <c r="B25" s="426"/>
      <c r="C25" s="52"/>
      <c r="D25" s="52" t="s">
        <v>101</v>
      </c>
      <c r="E25" s="54">
        <f t="shared" ref="E25:F25" si="2">sum(E21:E24)</f>
        <v>6</v>
      </c>
      <c r="F25" s="54">
        <f t="shared" si="2"/>
        <v>185</v>
      </c>
      <c r="G25" s="54"/>
      <c r="H25" s="54"/>
      <c r="I25" s="54"/>
      <c r="J25" s="133"/>
    </row>
    <row r="26" ht="7.5" customHeight="1">
      <c r="A26" s="23"/>
      <c r="B26" s="419"/>
      <c r="C26" s="23"/>
      <c r="D26" s="23"/>
      <c r="E26" s="25"/>
      <c r="F26" s="23"/>
      <c r="G26" s="23"/>
      <c r="H26" s="23"/>
      <c r="I26" s="25"/>
      <c r="J26" s="108"/>
    </row>
    <row r="27" ht="18.75" customHeight="1">
      <c r="A27" s="26" t="s">
        <v>111</v>
      </c>
      <c r="J27" s="109"/>
    </row>
    <row r="28" ht="18.75" customHeight="1">
      <c r="A28" s="101" t="s">
        <v>1497</v>
      </c>
      <c r="J28" s="110"/>
    </row>
    <row r="29">
      <c r="A29" s="28" t="s">
        <v>41</v>
      </c>
      <c r="B29" s="28" t="s">
        <v>42</v>
      </c>
      <c r="C29" s="29" t="s">
        <v>43</v>
      </c>
      <c r="D29" s="28" t="s">
        <v>46</v>
      </c>
      <c r="E29" s="29" t="s">
        <v>47</v>
      </c>
      <c r="F29" s="29" t="s">
        <v>48</v>
      </c>
      <c r="G29" s="29" t="s">
        <v>49</v>
      </c>
      <c r="H29" s="29" t="s">
        <v>50</v>
      </c>
      <c r="I29" s="29" t="s">
        <v>51</v>
      </c>
      <c r="J29" s="113" t="s">
        <v>1593</v>
      </c>
    </row>
    <row r="30">
      <c r="A30" s="425" t="s">
        <v>1502</v>
      </c>
      <c r="B30" s="175">
        <v>1.300422E7</v>
      </c>
      <c r="C30" s="27" t="b">
        <v>1</v>
      </c>
      <c r="D30" s="27" t="s">
        <v>58</v>
      </c>
      <c r="E30" s="37">
        <v>1.0</v>
      </c>
      <c r="F30" s="37">
        <v>50.0</v>
      </c>
      <c r="G30" s="37"/>
      <c r="H30" s="194" t="s">
        <v>1556</v>
      </c>
      <c r="I30" s="238" t="s">
        <v>1557</v>
      </c>
      <c r="J30" s="145" t="s">
        <v>1526</v>
      </c>
    </row>
    <row r="31">
      <c r="A31" s="425" t="s">
        <v>1513</v>
      </c>
      <c r="B31" s="175">
        <v>1.30056E7</v>
      </c>
      <c r="C31" s="27" t="b">
        <v>1</v>
      </c>
      <c r="D31" s="27" t="s">
        <v>71</v>
      </c>
      <c r="E31" s="37">
        <v>1.0</v>
      </c>
      <c r="F31" s="37">
        <v>60.0</v>
      </c>
      <c r="G31" s="37"/>
      <c r="H31" s="37" t="s">
        <v>1595</v>
      </c>
      <c r="I31" s="37" t="s">
        <v>1596</v>
      </c>
      <c r="J31" s="145" t="s">
        <v>1518</v>
      </c>
    </row>
    <row r="32">
      <c r="A32" s="425" t="s">
        <v>1519</v>
      </c>
      <c r="B32" s="175">
        <v>1.30057E7</v>
      </c>
      <c r="C32" s="27" t="b">
        <v>1</v>
      </c>
      <c r="D32" s="27" t="s">
        <v>82</v>
      </c>
      <c r="E32" s="37">
        <v>2.0</v>
      </c>
      <c r="F32" s="37">
        <v>60.0</v>
      </c>
      <c r="G32" s="37"/>
      <c r="H32" s="37" t="s">
        <v>1599</v>
      </c>
      <c r="I32" s="37" t="s">
        <v>88</v>
      </c>
      <c r="J32" s="145" t="s">
        <v>1520</v>
      </c>
    </row>
    <row r="33">
      <c r="A33" s="425" t="s">
        <v>1494</v>
      </c>
      <c r="B33" s="175">
        <v>1.300525E7</v>
      </c>
      <c r="C33" s="27" t="b">
        <v>1</v>
      </c>
      <c r="D33" s="27" t="s">
        <v>96</v>
      </c>
      <c r="E33" s="37">
        <v>2.0</v>
      </c>
      <c r="F33" s="37">
        <v>15.0</v>
      </c>
      <c r="G33" s="37"/>
      <c r="H33" s="37" t="s">
        <v>1568</v>
      </c>
      <c r="I33" s="37" t="s">
        <v>1295</v>
      </c>
      <c r="J33" s="439" t="s">
        <v>1521</v>
      </c>
    </row>
    <row r="34">
      <c r="A34" s="51"/>
      <c r="B34" s="426"/>
      <c r="C34" s="52"/>
      <c r="D34" s="52" t="s">
        <v>101</v>
      </c>
      <c r="E34" s="54">
        <f t="shared" ref="E34:F34" si="3">sum(E30:E33)</f>
        <v>6</v>
      </c>
      <c r="F34" s="54">
        <f t="shared" si="3"/>
        <v>185</v>
      </c>
      <c r="G34" s="54"/>
      <c r="H34" s="54"/>
      <c r="I34" s="54"/>
      <c r="J34" s="133"/>
    </row>
    <row r="35" ht="7.5" customHeight="1">
      <c r="A35" s="23"/>
      <c r="B35" s="419"/>
      <c r="C35" s="23"/>
      <c r="D35" s="23"/>
      <c r="E35" s="25"/>
      <c r="F35" s="23"/>
      <c r="G35" s="23"/>
      <c r="H35" s="23"/>
      <c r="I35" s="25"/>
      <c r="J35" s="108"/>
    </row>
    <row r="36" ht="18.75" customHeight="1">
      <c r="A36" s="26" t="s">
        <v>169</v>
      </c>
      <c r="J36" s="109"/>
    </row>
    <row r="37" ht="18.75" customHeight="1">
      <c r="A37" s="101" t="s">
        <v>1522</v>
      </c>
      <c r="J37" s="110"/>
    </row>
    <row r="38">
      <c r="A38" s="28" t="s">
        <v>41</v>
      </c>
      <c r="B38" s="28" t="s">
        <v>42</v>
      </c>
      <c r="C38" s="29" t="s">
        <v>43</v>
      </c>
      <c r="D38" s="28" t="s">
        <v>46</v>
      </c>
      <c r="E38" s="29" t="s">
        <v>47</v>
      </c>
      <c r="F38" s="29" t="s">
        <v>48</v>
      </c>
      <c r="G38" s="29" t="s">
        <v>49</v>
      </c>
      <c r="H38" s="29" t="s">
        <v>50</v>
      </c>
      <c r="I38" s="29" t="s">
        <v>51</v>
      </c>
      <c r="J38" s="113" t="s">
        <v>1611</v>
      </c>
    </row>
    <row r="39">
      <c r="A39" s="425" t="s">
        <v>1502</v>
      </c>
      <c r="B39" s="175">
        <v>1.300422E7</v>
      </c>
      <c r="C39" s="27" t="b">
        <v>1</v>
      </c>
      <c r="D39" s="27" t="s">
        <v>58</v>
      </c>
      <c r="E39" s="37">
        <v>1.0</v>
      </c>
      <c r="F39" s="37">
        <v>50.0</v>
      </c>
      <c r="G39" s="37"/>
      <c r="H39" s="194" t="s">
        <v>1556</v>
      </c>
      <c r="I39" s="238" t="s">
        <v>1557</v>
      </c>
      <c r="J39" s="145" t="s">
        <v>1526</v>
      </c>
    </row>
    <row r="40">
      <c r="A40" s="425" t="s">
        <v>1527</v>
      </c>
      <c r="B40" s="175">
        <v>1.3006E7</v>
      </c>
      <c r="C40" s="27" t="b">
        <v>1</v>
      </c>
      <c r="D40" s="27" t="s">
        <v>71</v>
      </c>
      <c r="E40" s="37">
        <v>1.0</v>
      </c>
      <c r="F40" s="37">
        <v>30.0</v>
      </c>
      <c r="G40" s="37"/>
      <c r="H40" s="238" t="s">
        <v>1616</v>
      </c>
      <c r="I40" s="238" t="s">
        <v>1295</v>
      </c>
      <c r="J40" s="145" t="s">
        <v>1548</v>
      </c>
    </row>
    <row r="41">
      <c r="A41" s="425" t="s">
        <v>1617</v>
      </c>
      <c r="B41" s="175">
        <v>1.30061E7</v>
      </c>
      <c r="C41" s="27" t="b">
        <v>1</v>
      </c>
      <c r="D41" s="27" t="s">
        <v>82</v>
      </c>
      <c r="E41" s="37">
        <v>2.0</v>
      </c>
      <c r="F41" s="37">
        <v>30.0</v>
      </c>
      <c r="G41" s="37"/>
      <c r="H41" s="194" t="s">
        <v>1620</v>
      </c>
      <c r="I41" s="194" t="s">
        <v>88</v>
      </c>
      <c r="J41" s="145" t="s">
        <v>1621</v>
      </c>
    </row>
    <row r="42">
      <c r="A42" s="425" t="s">
        <v>1494</v>
      </c>
      <c r="B42" s="175">
        <v>1.300525E7</v>
      </c>
      <c r="C42" s="27" t="b">
        <v>1</v>
      </c>
      <c r="D42" s="27" t="s">
        <v>96</v>
      </c>
      <c r="E42" s="37">
        <v>2.0</v>
      </c>
      <c r="F42" s="37">
        <v>15.0</v>
      </c>
      <c r="G42" s="37"/>
      <c r="H42" s="37" t="s">
        <v>1568</v>
      </c>
      <c r="I42" s="37" t="s">
        <v>1295</v>
      </c>
      <c r="J42" s="145"/>
    </row>
    <row r="43">
      <c r="A43" s="51"/>
      <c r="B43" s="426"/>
      <c r="C43" s="52"/>
      <c r="D43" s="52" t="s">
        <v>101</v>
      </c>
      <c r="E43" s="54">
        <f t="shared" ref="E43:F43" si="4">sum(E39:E42)</f>
        <v>6</v>
      </c>
      <c r="F43" s="54">
        <f t="shared" si="4"/>
        <v>125</v>
      </c>
      <c r="G43" s="54"/>
      <c r="H43" s="54"/>
      <c r="I43" s="54"/>
      <c r="J43" s="133"/>
    </row>
    <row r="44" ht="7.5" customHeight="1">
      <c r="A44" s="23"/>
      <c r="B44" s="419"/>
      <c r="C44" s="23"/>
      <c r="D44" s="23"/>
      <c r="E44" s="25"/>
      <c r="F44" s="23"/>
      <c r="G44" s="23"/>
      <c r="H44" s="23"/>
      <c r="I44" s="25"/>
      <c r="J44" s="108"/>
    </row>
    <row r="45" ht="18.75" customHeight="1">
      <c r="A45" s="26" t="s">
        <v>205</v>
      </c>
      <c r="J45" s="109"/>
    </row>
    <row r="46" ht="18.75" customHeight="1">
      <c r="A46" s="112" t="s">
        <v>1635</v>
      </c>
      <c r="J46" s="110"/>
    </row>
    <row r="47">
      <c r="A47" s="28" t="s">
        <v>41</v>
      </c>
      <c r="B47" s="28" t="s">
        <v>42</v>
      </c>
      <c r="C47" s="29" t="s">
        <v>43</v>
      </c>
      <c r="D47" s="28" t="s">
        <v>46</v>
      </c>
      <c r="E47" s="29" t="s">
        <v>47</v>
      </c>
      <c r="F47" s="29" t="s">
        <v>48</v>
      </c>
      <c r="G47" s="29" t="s">
        <v>49</v>
      </c>
      <c r="H47" s="29" t="s">
        <v>50</v>
      </c>
      <c r="I47" s="29" t="s">
        <v>51</v>
      </c>
      <c r="J47" s="113" t="s">
        <v>1641</v>
      </c>
    </row>
    <row r="48">
      <c r="A48" s="483" t="s">
        <v>504</v>
      </c>
      <c r="B48" s="175">
        <v>1.30202E7</v>
      </c>
      <c r="C48" s="27" t="b">
        <v>1</v>
      </c>
      <c r="D48" s="27" t="s">
        <v>58</v>
      </c>
      <c r="E48" s="37">
        <v>1.0</v>
      </c>
      <c r="F48" s="37">
        <v>80.0</v>
      </c>
      <c r="G48" s="37"/>
      <c r="H48" s="485" t="s">
        <v>1649</v>
      </c>
      <c r="I48" s="485" t="s">
        <v>1651</v>
      </c>
      <c r="J48" s="145"/>
    </row>
    <row r="49">
      <c r="A49" s="486" t="s">
        <v>1653</v>
      </c>
      <c r="B49" s="487">
        <v>1.30203E7</v>
      </c>
      <c r="C49" s="27" t="b">
        <v>1</v>
      </c>
      <c r="D49" s="27" t="s">
        <v>71</v>
      </c>
      <c r="E49" s="37">
        <v>1.0</v>
      </c>
      <c r="F49" s="37">
        <v>0.0</v>
      </c>
      <c r="G49" s="37"/>
      <c r="H49" s="485" t="s">
        <v>1658</v>
      </c>
      <c r="I49" s="489" t="s">
        <v>1659</v>
      </c>
      <c r="J49" s="145"/>
    </row>
    <row r="50">
      <c r="A50" s="483" t="s">
        <v>1660</v>
      </c>
      <c r="B50" s="27">
        <v>1.30204E7</v>
      </c>
      <c r="C50" s="27" t="b">
        <v>1</v>
      </c>
      <c r="D50" s="27" t="s">
        <v>82</v>
      </c>
      <c r="E50" s="37">
        <v>1.0</v>
      </c>
      <c r="F50" s="37">
        <v>80.0</v>
      </c>
      <c r="G50" s="37"/>
      <c r="H50" s="490" t="s">
        <v>1663</v>
      </c>
      <c r="I50" s="490" t="s">
        <v>1664</v>
      </c>
      <c r="J50" s="145"/>
    </row>
    <row r="51">
      <c r="A51" s="483" t="s">
        <v>1665</v>
      </c>
      <c r="B51" s="27">
        <v>1.30206E7</v>
      </c>
      <c r="C51" s="27" t="b">
        <v>1</v>
      </c>
      <c r="D51" s="27" t="s">
        <v>82</v>
      </c>
      <c r="E51" s="37">
        <v>1.0</v>
      </c>
      <c r="F51" s="37">
        <v>0.0</v>
      </c>
      <c r="G51" s="37"/>
      <c r="H51" s="485" t="s">
        <v>1667</v>
      </c>
      <c r="I51" s="485" t="s">
        <v>1668</v>
      </c>
      <c r="J51" s="145"/>
    </row>
    <row r="52">
      <c r="A52" s="483" t="s">
        <v>1669</v>
      </c>
      <c r="B52" s="27">
        <v>1.30205E7</v>
      </c>
      <c r="C52" s="27" t="b">
        <v>1</v>
      </c>
      <c r="D52" s="27" t="s">
        <v>82</v>
      </c>
      <c r="E52" s="37">
        <v>2.0</v>
      </c>
      <c r="F52" s="37">
        <v>80.0</v>
      </c>
      <c r="G52" s="37"/>
      <c r="H52" s="491" t="s">
        <v>1671</v>
      </c>
      <c r="I52" s="492" t="s">
        <v>1295</v>
      </c>
      <c r="J52" s="145"/>
    </row>
    <row r="53">
      <c r="A53" s="483" t="s">
        <v>1672</v>
      </c>
      <c r="B53" s="27">
        <v>1.302051E7</v>
      </c>
      <c r="C53" s="27" t="b">
        <v>1</v>
      </c>
      <c r="D53" s="27" t="s">
        <v>96</v>
      </c>
      <c r="E53" s="37">
        <v>2.0</v>
      </c>
      <c r="F53" s="37">
        <v>100.0</v>
      </c>
      <c r="G53" s="37"/>
      <c r="H53" s="491" t="s">
        <v>1674</v>
      </c>
      <c r="I53" s="492" t="s">
        <v>1295</v>
      </c>
      <c r="J53" s="145" t="s">
        <v>1675</v>
      </c>
    </row>
    <row r="54">
      <c r="A54" s="51"/>
      <c r="B54" s="426"/>
      <c r="C54" s="52"/>
      <c r="D54" s="52" t="s">
        <v>101</v>
      </c>
      <c r="E54" s="54">
        <f t="shared" ref="E54:F54" si="5">sum(E48:E53)</f>
        <v>8</v>
      </c>
      <c r="F54" s="54">
        <f t="shared" si="5"/>
        <v>340</v>
      </c>
      <c r="G54" s="54"/>
      <c r="H54" s="54"/>
      <c r="I54" s="54"/>
      <c r="J54" s="133"/>
    </row>
    <row r="55">
      <c r="A55" s="166"/>
      <c r="B55" s="495"/>
      <c r="C55" s="276"/>
      <c r="D55" s="276"/>
      <c r="E55" s="166"/>
      <c r="F55" s="166"/>
      <c r="G55" s="166"/>
      <c r="H55" s="166"/>
      <c r="I55" s="166"/>
      <c r="J55" s="496"/>
    </row>
    <row r="56">
      <c r="A56" s="152" t="s">
        <v>251</v>
      </c>
      <c r="J56" s="497"/>
    </row>
    <row r="57">
      <c r="A57" s="112" t="s">
        <v>1682</v>
      </c>
      <c r="J57" s="498"/>
    </row>
    <row r="58">
      <c r="A58" s="28" t="s">
        <v>41</v>
      </c>
      <c r="B58" s="28" t="s">
        <v>42</v>
      </c>
      <c r="C58" s="29" t="s">
        <v>43</v>
      </c>
      <c r="D58" s="28" t="s">
        <v>46</v>
      </c>
      <c r="E58" s="29" t="s">
        <v>47</v>
      </c>
      <c r="F58" s="29" t="s">
        <v>48</v>
      </c>
      <c r="G58" s="29" t="s">
        <v>49</v>
      </c>
      <c r="H58" s="29" t="s">
        <v>50</v>
      </c>
      <c r="I58" s="29" t="s">
        <v>51</v>
      </c>
      <c r="J58" s="501" t="s">
        <v>1686</v>
      </c>
    </row>
    <row r="59">
      <c r="A59" s="464" t="s">
        <v>504</v>
      </c>
      <c r="B59" s="377">
        <v>1.30202E7</v>
      </c>
      <c r="C59" s="338" t="b">
        <v>1</v>
      </c>
      <c r="D59" s="27" t="s">
        <v>58</v>
      </c>
      <c r="E59" s="37">
        <v>1.0</v>
      </c>
      <c r="F59" s="377">
        <v>80.0</v>
      </c>
      <c r="G59" s="377"/>
      <c r="H59" s="485" t="s">
        <v>1649</v>
      </c>
      <c r="I59" s="485" t="s">
        <v>1651</v>
      </c>
      <c r="J59" s="502"/>
    </row>
    <row r="60">
      <c r="A60" s="486" t="s">
        <v>1653</v>
      </c>
      <c r="B60" s="487">
        <v>1.30203E7</v>
      </c>
      <c r="C60" s="338" t="b">
        <v>1</v>
      </c>
      <c r="D60" s="27" t="s">
        <v>71</v>
      </c>
      <c r="E60" s="37">
        <v>1.0</v>
      </c>
      <c r="F60" s="377">
        <v>0.0</v>
      </c>
      <c r="G60" s="377"/>
      <c r="H60" s="485" t="s">
        <v>1658</v>
      </c>
      <c r="I60" s="489" t="s">
        <v>1659</v>
      </c>
      <c r="J60" s="502"/>
    </row>
    <row r="61">
      <c r="A61" s="464" t="s">
        <v>1660</v>
      </c>
      <c r="B61" s="27">
        <v>1.30204E7</v>
      </c>
      <c r="C61" s="338" t="b">
        <v>1</v>
      </c>
      <c r="D61" s="27" t="s">
        <v>82</v>
      </c>
      <c r="E61" s="37">
        <v>1.0</v>
      </c>
      <c r="F61" s="377">
        <v>80.0</v>
      </c>
      <c r="G61" s="377"/>
      <c r="H61" s="490" t="s">
        <v>1663</v>
      </c>
      <c r="I61" s="490" t="s">
        <v>1664</v>
      </c>
      <c r="J61" s="502"/>
    </row>
    <row r="62">
      <c r="A62" s="483" t="s">
        <v>1665</v>
      </c>
      <c r="B62" s="27">
        <v>1.30206E7</v>
      </c>
      <c r="C62" s="338" t="b">
        <v>1</v>
      </c>
      <c r="D62" s="27" t="s">
        <v>82</v>
      </c>
      <c r="E62" s="37">
        <v>1.0</v>
      </c>
      <c r="F62" s="377">
        <v>0.0</v>
      </c>
      <c r="G62" s="377"/>
      <c r="H62" s="485" t="s">
        <v>1667</v>
      </c>
      <c r="I62" s="485" t="s">
        <v>1668</v>
      </c>
      <c r="J62" s="502"/>
    </row>
    <row r="63">
      <c r="A63" s="464" t="s">
        <v>1705</v>
      </c>
      <c r="B63" s="27">
        <v>1.30205E7</v>
      </c>
      <c r="C63" s="338" t="b">
        <v>1</v>
      </c>
      <c r="D63" s="27" t="s">
        <v>82</v>
      </c>
      <c r="E63" s="37">
        <v>2.0</v>
      </c>
      <c r="F63" s="377">
        <v>40.0</v>
      </c>
      <c r="G63" s="377"/>
      <c r="H63" s="504" t="s">
        <v>1708</v>
      </c>
      <c r="I63" s="504" t="s">
        <v>88</v>
      </c>
      <c r="J63" s="502"/>
    </row>
    <row r="64">
      <c r="A64" s="464" t="s">
        <v>1710</v>
      </c>
      <c r="B64" s="377">
        <v>1.302051E7</v>
      </c>
      <c r="C64" s="338" t="b">
        <v>1</v>
      </c>
      <c r="D64" s="27" t="s">
        <v>96</v>
      </c>
      <c r="E64" s="37">
        <v>2.0</v>
      </c>
      <c r="F64" s="377">
        <v>40.0</v>
      </c>
      <c r="G64" s="377"/>
      <c r="H64" s="504" t="s">
        <v>1708</v>
      </c>
      <c r="I64" s="504" t="s">
        <v>88</v>
      </c>
      <c r="J64" s="488" t="s">
        <v>1712</v>
      </c>
    </row>
    <row r="65">
      <c r="A65" s="126"/>
      <c r="B65" s="196"/>
      <c r="C65" s="242"/>
      <c r="D65" s="242" t="s">
        <v>101</v>
      </c>
      <c r="E65" s="165">
        <f t="shared" ref="E65:F65" si="6">sum(E59:E64)</f>
        <v>8</v>
      </c>
      <c r="F65" s="165">
        <f t="shared" si="6"/>
        <v>240</v>
      </c>
      <c r="G65" s="165"/>
      <c r="H65" s="126"/>
      <c r="I65" s="126"/>
      <c r="J65" s="506"/>
    </row>
    <row r="66">
      <c r="A66" s="166"/>
      <c r="B66" s="495"/>
      <c r="C66" s="276"/>
      <c r="D66" s="276"/>
      <c r="E66" s="166"/>
      <c r="F66" s="166"/>
      <c r="G66" s="166"/>
      <c r="H66" s="166"/>
      <c r="I66" s="166"/>
      <c r="J66" s="496"/>
    </row>
    <row r="67">
      <c r="A67" s="152" t="s">
        <v>1603</v>
      </c>
      <c r="J67" s="497"/>
    </row>
    <row r="68">
      <c r="A68" s="101" t="s">
        <v>1261</v>
      </c>
      <c r="J68" s="498"/>
    </row>
    <row r="69">
      <c r="A69" s="28" t="s">
        <v>41</v>
      </c>
      <c r="B69" s="28" t="s">
        <v>42</v>
      </c>
      <c r="C69" s="29" t="s">
        <v>43</v>
      </c>
      <c r="D69" s="28" t="s">
        <v>46</v>
      </c>
      <c r="E69" s="29" t="s">
        <v>47</v>
      </c>
      <c r="F69" s="29" t="s">
        <v>48</v>
      </c>
      <c r="G69" s="29" t="s">
        <v>49</v>
      </c>
      <c r="H69" s="29" t="s">
        <v>50</v>
      </c>
      <c r="I69" s="29" t="s">
        <v>51</v>
      </c>
      <c r="J69" s="501" t="s">
        <v>1717</v>
      </c>
    </row>
    <row r="70">
      <c r="A70" s="480" t="s">
        <v>1718</v>
      </c>
      <c r="B70" s="377">
        <v>3580850.0</v>
      </c>
      <c r="C70" s="338" t="b">
        <v>1</v>
      </c>
      <c r="D70" s="27" t="s">
        <v>58</v>
      </c>
      <c r="E70" s="37">
        <v>1.0</v>
      </c>
      <c r="F70" s="377">
        <v>40.0</v>
      </c>
      <c r="G70" s="377"/>
      <c r="H70" s="377" t="s">
        <v>1720</v>
      </c>
      <c r="I70" s="66" t="s">
        <v>1721</v>
      </c>
      <c r="J70" s="488" t="s">
        <v>1722</v>
      </c>
    </row>
    <row r="71">
      <c r="A71" s="480" t="s">
        <v>1243</v>
      </c>
      <c r="B71" s="377">
        <v>3580140.0</v>
      </c>
      <c r="C71" s="338" t="b">
        <v>1</v>
      </c>
      <c r="D71" s="27" t="s">
        <v>58</v>
      </c>
      <c r="E71" s="37">
        <v>1.0</v>
      </c>
      <c r="F71" s="377">
        <v>0.0</v>
      </c>
      <c r="G71" s="377"/>
      <c r="H71" s="377" t="s">
        <v>1724</v>
      </c>
      <c r="I71" s="377" t="s">
        <v>1727</v>
      </c>
      <c r="J71" s="509" t="s">
        <v>1728</v>
      </c>
    </row>
    <row r="72">
      <c r="A72" s="480" t="s">
        <v>1644</v>
      </c>
      <c r="B72" s="232">
        <v>1.302741E7</v>
      </c>
      <c r="C72" s="338" t="b">
        <v>1</v>
      </c>
      <c r="D72" s="27" t="s">
        <v>82</v>
      </c>
      <c r="E72" s="37">
        <v>1.0</v>
      </c>
      <c r="F72" s="377">
        <v>40.0</v>
      </c>
      <c r="G72" s="377"/>
      <c r="H72" s="377" t="s">
        <v>1729</v>
      </c>
      <c r="I72" s="377" t="s">
        <v>1731</v>
      </c>
      <c r="J72" s="502" t="s">
        <v>1639</v>
      </c>
    </row>
    <row r="73">
      <c r="A73" s="480" t="s">
        <v>722</v>
      </c>
      <c r="B73" s="232" t="s">
        <v>1734</v>
      </c>
      <c r="C73" s="338" t="b">
        <v>1</v>
      </c>
      <c r="D73" s="27" t="s">
        <v>71</v>
      </c>
      <c r="E73" s="37">
        <v>1.0</v>
      </c>
      <c r="F73" s="377">
        <v>40.0</v>
      </c>
      <c r="G73" s="377"/>
      <c r="H73" s="377" t="s">
        <v>1736</v>
      </c>
      <c r="I73" s="377" t="s">
        <v>1737</v>
      </c>
      <c r="J73" s="502" t="s">
        <v>1738</v>
      </c>
    </row>
    <row r="74">
      <c r="A74" s="480" t="s">
        <v>1740</v>
      </c>
      <c r="B74" s="106">
        <v>3580200.0</v>
      </c>
      <c r="C74" s="338" t="b">
        <v>1</v>
      </c>
      <c r="D74" s="27" t="s">
        <v>71</v>
      </c>
      <c r="E74" s="37">
        <v>1.0</v>
      </c>
      <c r="F74" s="377">
        <v>40.0</v>
      </c>
      <c r="G74" s="377"/>
      <c r="H74" s="377" t="s">
        <v>1720</v>
      </c>
      <c r="I74" s="377" t="s">
        <v>1742</v>
      </c>
      <c r="J74" s="502" t="s">
        <v>1728</v>
      </c>
    </row>
    <row r="75">
      <c r="A75" s="480" t="s">
        <v>1744</v>
      </c>
      <c r="B75" s="377">
        <v>3580360.0</v>
      </c>
      <c r="C75" s="338" t="b">
        <v>1</v>
      </c>
      <c r="D75" s="27" t="s">
        <v>82</v>
      </c>
      <c r="E75" s="37">
        <v>1.0</v>
      </c>
      <c r="F75" s="377">
        <v>0.0</v>
      </c>
      <c r="G75" s="377"/>
      <c r="H75" s="377" t="s">
        <v>1724</v>
      </c>
      <c r="I75" s="377" t="s">
        <v>1727</v>
      </c>
      <c r="J75" s="502" t="s">
        <v>1643</v>
      </c>
    </row>
    <row r="76">
      <c r="A76" s="338" t="s">
        <v>1748</v>
      </c>
      <c r="B76" s="232">
        <v>3580855.0</v>
      </c>
      <c r="C76" s="338" t="b">
        <v>1</v>
      </c>
      <c r="D76" s="27" t="s">
        <v>96</v>
      </c>
      <c r="E76" s="37">
        <v>2.0</v>
      </c>
      <c r="F76" s="512">
        <f>sum(F70:F75)</f>
        <v>160</v>
      </c>
      <c r="G76" s="512"/>
      <c r="H76" s="377" t="s">
        <v>1729</v>
      </c>
      <c r="I76" s="377" t="s">
        <v>1731</v>
      </c>
      <c r="J76" s="498"/>
    </row>
    <row r="77">
      <c r="A77" s="338"/>
      <c r="B77" s="232"/>
      <c r="C77" s="338"/>
      <c r="D77" s="338"/>
      <c r="E77" s="516"/>
      <c r="F77" s="277"/>
      <c r="G77" s="277"/>
      <c r="H77" s="377"/>
      <c r="I77" s="207"/>
      <c r="J77" s="498"/>
    </row>
    <row r="78">
      <c r="A78" s="166"/>
      <c r="B78" s="433"/>
      <c r="C78" s="166"/>
      <c r="D78" s="166"/>
      <c r="E78" s="166"/>
      <c r="F78" s="166"/>
      <c r="G78" s="166"/>
      <c r="H78" s="166"/>
      <c r="I78" s="166"/>
      <c r="J78" s="496"/>
    </row>
    <row r="79">
      <c r="A79" s="152" t="s">
        <v>1645</v>
      </c>
      <c r="J79" s="497"/>
    </row>
    <row r="80">
      <c r="A80" s="101" t="s">
        <v>1571</v>
      </c>
      <c r="J80" s="498"/>
    </row>
    <row r="81">
      <c r="A81" s="28" t="s">
        <v>41</v>
      </c>
      <c r="B81" s="28" t="s">
        <v>42</v>
      </c>
      <c r="C81" s="29" t="s">
        <v>43</v>
      </c>
      <c r="D81" s="28" t="s">
        <v>46</v>
      </c>
      <c r="E81" s="29" t="s">
        <v>47</v>
      </c>
      <c r="F81" s="29" t="s">
        <v>48</v>
      </c>
      <c r="G81" s="29" t="s">
        <v>49</v>
      </c>
      <c r="H81" s="29" t="s">
        <v>50</v>
      </c>
      <c r="I81" s="29" t="s">
        <v>51</v>
      </c>
      <c r="J81" s="501" t="s">
        <v>1755</v>
      </c>
    </row>
    <row r="82">
      <c r="A82" s="524" t="s">
        <v>959</v>
      </c>
      <c r="B82" s="377">
        <v>1.300421E7</v>
      </c>
      <c r="C82" s="338" t="b">
        <v>1</v>
      </c>
      <c r="D82" s="27" t="s">
        <v>58</v>
      </c>
      <c r="E82" s="37">
        <v>1.0</v>
      </c>
      <c r="F82" s="377">
        <v>40.0</v>
      </c>
      <c r="G82" s="377"/>
      <c r="H82" s="377" t="s">
        <v>1757</v>
      </c>
      <c r="I82" s="377" t="s">
        <v>88</v>
      </c>
      <c r="J82" s="67"/>
    </row>
    <row r="83">
      <c r="A83" s="524" t="s">
        <v>1022</v>
      </c>
      <c r="B83" s="377">
        <v>1.30043E7</v>
      </c>
      <c r="C83" s="338" t="b">
        <v>1</v>
      </c>
      <c r="D83" s="27" t="s">
        <v>71</v>
      </c>
      <c r="E83" s="37">
        <v>1.0</v>
      </c>
      <c r="F83" s="377">
        <v>60.0</v>
      </c>
      <c r="G83" s="377"/>
      <c r="H83" s="377" t="s">
        <v>1758</v>
      </c>
      <c r="I83" s="377" t="s">
        <v>1295</v>
      </c>
      <c r="J83" s="67" t="s">
        <v>1566</v>
      </c>
    </row>
    <row r="84">
      <c r="A84" s="530" t="s">
        <v>1027</v>
      </c>
      <c r="B84" s="431" t="s">
        <v>1028</v>
      </c>
      <c r="C84" s="338" t="b">
        <v>1</v>
      </c>
      <c r="D84" s="27" t="s">
        <v>71</v>
      </c>
      <c r="E84" s="37">
        <v>1.0</v>
      </c>
      <c r="F84" s="377">
        <v>40.0</v>
      </c>
      <c r="G84" s="377"/>
      <c r="H84" s="377" t="s">
        <v>1761</v>
      </c>
      <c r="I84" s="377" t="s">
        <v>1295</v>
      </c>
      <c r="J84" s="67" t="s">
        <v>1762</v>
      </c>
    </row>
    <row r="85">
      <c r="A85" s="524" t="s">
        <v>1032</v>
      </c>
      <c r="B85" s="377">
        <v>1.30044E7</v>
      </c>
      <c r="C85" s="338" t="b">
        <v>1</v>
      </c>
      <c r="D85" s="27" t="s">
        <v>82</v>
      </c>
      <c r="E85" s="37">
        <v>2.0</v>
      </c>
      <c r="F85" s="377">
        <v>0.0</v>
      </c>
      <c r="G85" s="377"/>
      <c r="H85" s="377" t="s">
        <v>1636</v>
      </c>
      <c r="I85" s="377"/>
      <c r="J85" s="67" t="s">
        <v>1566</v>
      </c>
    </row>
    <row r="86">
      <c r="A86" s="524" t="s">
        <v>1764</v>
      </c>
      <c r="B86" s="377">
        <v>1.30045E7</v>
      </c>
      <c r="C86" s="338" t="b">
        <v>1</v>
      </c>
      <c r="D86" s="27" t="s">
        <v>96</v>
      </c>
      <c r="E86" s="37">
        <v>2.0</v>
      </c>
      <c r="F86" s="377">
        <v>0.0</v>
      </c>
      <c r="G86" s="377"/>
      <c r="H86" s="377" t="s">
        <v>1636</v>
      </c>
      <c r="I86" s="377"/>
      <c r="J86" s="222" t="s">
        <v>1569</v>
      </c>
    </row>
    <row r="87">
      <c r="A87" s="126"/>
      <c r="B87" s="196"/>
      <c r="C87" s="242"/>
      <c r="D87" s="242" t="s">
        <v>101</v>
      </c>
      <c r="E87" s="165">
        <f t="shared" ref="E87:F87" si="7">sum(E82:E86)</f>
        <v>7</v>
      </c>
      <c r="F87" s="165">
        <f t="shared" si="7"/>
        <v>140</v>
      </c>
      <c r="G87" s="165"/>
      <c r="H87" s="126"/>
      <c r="I87" s="126"/>
      <c r="J87" s="506"/>
    </row>
    <row r="88">
      <c r="A88" s="166"/>
      <c r="B88" s="495"/>
      <c r="C88" s="276"/>
      <c r="D88" s="276"/>
      <c r="E88" s="166"/>
      <c r="F88" s="166"/>
      <c r="G88" s="166"/>
      <c r="H88" s="166"/>
      <c r="I88" s="166"/>
      <c r="J88" s="496"/>
    </row>
    <row r="89">
      <c r="A89" s="152" t="s">
        <v>1704</v>
      </c>
      <c r="J89" s="497"/>
    </row>
    <row r="90">
      <c r="A90" s="101" t="s">
        <v>1768</v>
      </c>
      <c r="J90" s="498"/>
    </row>
    <row r="91">
      <c r="A91" s="28" t="s">
        <v>41</v>
      </c>
      <c r="B91" s="28" t="s">
        <v>42</v>
      </c>
      <c r="C91" s="29" t="s">
        <v>43</v>
      </c>
      <c r="D91" s="28" t="s">
        <v>46</v>
      </c>
      <c r="E91" s="29" t="s">
        <v>47</v>
      </c>
      <c r="F91" s="29" t="s">
        <v>48</v>
      </c>
      <c r="G91" s="29" t="s">
        <v>49</v>
      </c>
      <c r="H91" s="29" t="s">
        <v>50</v>
      </c>
      <c r="I91" s="29" t="s">
        <v>51</v>
      </c>
      <c r="J91" s="501" t="s">
        <v>1769</v>
      </c>
    </row>
    <row r="92">
      <c r="A92" s="480" t="s">
        <v>413</v>
      </c>
      <c r="B92" s="377">
        <v>1.30344E7</v>
      </c>
      <c r="C92" s="338" t="b">
        <v>1</v>
      </c>
      <c r="D92" s="27" t="s">
        <v>71</v>
      </c>
      <c r="E92" s="37">
        <v>1.0</v>
      </c>
      <c r="F92" s="377">
        <v>40.0</v>
      </c>
      <c r="G92" s="377"/>
      <c r="H92" s="377" t="s">
        <v>1772</v>
      </c>
      <c r="I92" s="377" t="s">
        <v>1773</v>
      </c>
      <c r="J92" s="502" t="s">
        <v>301</v>
      </c>
    </row>
    <row r="93">
      <c r="A93" s="480" t="s">
        <v>310</v>
      </c>
      <c r="B93" s="377" t="s">
        <v>311</v>
      </c>
      <c r="C93" s="338" t="b">
        <v>1</v>
      </c>
      <c r="D93" s="27" t="s">
        <v>82</v>
      </c>
      <c r="E93" s="37">
        <v>1.0</v>
      </c>
      <c r="F93" s="377">
        <v>40.0</v>
      </c>
      <c r="G93" s="377"/>
      <c r="H93" s="377" t="s">
        <v>1776</v>
      </c>
      <c r="I93" s="377" t="s">
        <v>1777</v>
      </c>
      <c r="J93" s="502" t="s">
        <v>301</v>
      </c>
    </row>
    <row r="94">
      <c r="A94" s="480" t="s">
        <v>314</v>
      </c>
      <c r="B94" s="377" t="s">
        <v>429</v>
      </c>
      <c r="C94" s="338" t="b">
        <v>1</v>
      </c>
      <c r="D94" s="27" t="s">
        <v>96</v>
      </c>
      <c r="E94" s="37">
        <v>2.0</v>
      </c>
      <c r="F94" s="377">
        <v>0.0</v>
      </c>
      <c r="G94" s="377"/>
      <c r="H94" s="377"/>
      <c r="I94" s="377"/>
      <c r="J94" s="502"/>
    </row>
    <row r="95">
      <c r="A95" s="126"/>
      <c r="B95" s="196"/>
      <c r="C95" s="242"/>
      <c r="D95" s="242" t="s">
        <v>101</v>
      </c>
      <c r="E95" s="165">
        <f t="shared" ref="E95:F95" si="8">sum(E92:E94)</f>
        <v>4</v>
      </c>
      <c r="F95" s="165">
        <f t="shared" si="8"/>
        <v>80</v>
      </c>
      <c r="G95" s="165"/>
      <c r="H95" s="126"/>
      <c r="I95" s="126"/>
      <c r="J95" s="506"/>
    </row>
  </sheetData>
  <mergeCells count="27">
    <mergeCell ref="A1:I1"/>
    <mergeCell ref="B2:I2"/>
    <mergeCell ref="J2:J3"/>
    <mergeCell ref="B3:I3"/>
    <mergeCell ref="B4:I4"/>
    <mergeCell ref="B5:I5"/>
    <mergeCell ref="J5:J6"/>
    <mergeCell ref="B6:I6"/>
    <mergeCell ref="B7:I7"/>
    <mergeCell ref="A9:I9"/>
    <mergeCell ref="A10:I10"/>
    <mergeCell ref="A18:I18"/>
    <mergeCell ref="A19:I19"/>
    <mergeCell ref="A27:I27"/>
    <mergeCell ref="A67:I67"/>
    <mergeCell ref="A68:I68"/>
    <mergeCell ref="A79:I79"/>
    <mergeCell ref="A80:I80"/>
    <mergeCell ref="A89:I89"/>
    <mergeCell ref="A90:I90"/>
    <mergeCell ref="A28:I28"/>
    <mergeCell ref="A36:I36"/>
    <mergeCell ref="A37:I37"/>
    <mergeCell ref="A45:I45"/>
    <mergeCell ref="A46:I46"/>
    <mergeCell ref="A56:I56"/>
    <mergeCell ref="A57:I57"/>
  </mergeCells>
  <dataValidations>
    <dataValidation type="list" allowBlank="1" sqref="D12:D15 D21:D24 D30:D33 D39:D42 D48:D53 D59:D64 D70:D76 D82:D86 D92:D94">
      <formula1>'Data Validation'!$A$2:$A$5</formula1>
    </dataValidation>
    <dataValidation type="list" allowBlank="1" sqref="E12:E15 E21:E24 E30:E33 E39:E42 E48:E53 E59:E64 E70:E76 E82:E86 E92:E94">
      <formula1>'Data Validation'!$B$2:$B$4</formula1>
    </dataValidation>
  </dataValidations>
  <hyperlinks>
    <hyperlink r:id="rId1" ref="J2"/>
    <hyperlink r:id="rId2" ref="J4"/>
    <hyperlink r:id="rId3" ref="J5"/>
  </hyperlinks>
  <printOptions gridLines="1" horizontalCentered="1"/>
  <pageMargins bottom="0.079" footer="0.0" header="0.0" left="0.29450418160095576" right="0.6" top="0.07885304659498207"/>
  <pageSetup fitToHeight="0" paperSize="5" cellComments="atEnd" orientation="landscape" pageOrder="overThenDown"/>
  <drawing r:id="rId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2.0"/>
    <col customWidth="1" min="3" max="3" width="33.63"/>
    <col customWidth="1" min="6" max="6" width="22.5"/>
    <col customWidth="1" min="7" max="7" width="21.63"/>
  </cols>
  <sheetData>
    <row r="1">
      <c r="A1" s="4" t="s">
        <v>1790</v>
      </c>
      <c r="B1" s="4" t="s">
        <v>1791</v>
      </c>
      <c r="C1" s="4" t="s">
        <v>1792</v>
      </c>
    </row>
    <row r="2">
      <c r="A2" s="524" t="s">
        <v>1793</v>
      </c>
      <c r="B2" s="524" t="s">
        <v>1794</v>
      </c>
      <c r="C2" s="537" t="s">
        <v>1795</v>
      </c>
    </row>
    <row r="3">
      <c r="A3" s="524" t="s">
        <v>1797</v>
      </c>
      <c r="B3" s="524" t="s">
        <v>1798</v>
      </c>
      <c r="C3" s="537" t="s">
        <v>1799</v>
      </c>
    </row>
    <row r="4">
      <c r="A4" s="530" t="s">
        <v>1800</v>
      </c>
      <c r="B4" s="524" t="s">
        <v>1801</v>
      </c>
      <c r="C4" s="524" t="s">
        <v>1802</v>
      </c>
    </row>
    <row r="5">
      <c r="A5" s="524" t="s">
        <v>1803</v>
      </c>
      <c r="B5" s="530" t="s">
        <v>1804</v>
      </c>
      <c r="C5" s="524" t="s">
        <v>1802</v>
      </c>
    </row>
    <row r="6">
      <c r="C6" s="4"/>
    </row>
    <row r="8">
      <c r="A8" s="4" t="s">
        <v>1806</v>
      </c>
      <c r="B8" s="4" t="s">
        <v>1791</v>
      </c>
      <c r="C8" s="4" t="s">
        <v>1792</v>
      </c>
    </row>
    <row r="9">
      <c r="A9" s="524" t="s">
        <v>1793</v>
      </c>
      <c r="B9" s="524" t="s">
        <v>1794</v>
      </c>
      <c r="C9" s="537" t="s">
        <v>1795</v>
      </c>
    </row>
    <row r="10">
      <c r="A10" s="524" t="s">
        <v>1797</v>
      </c>
      <c r="B10" s="524" t="s">
        <v>1798</v>
      </c>
      <c r="C10" s="537" t="s">
        <v>1799</v>
      </c>
    </row>
    <row r="11">
      <c r="A11" s="530" t="s">
        <v>1800</v>
      </c>
      <c r="B11" s="530" t="s">
        <v>1804</v>
      </c>
      <c r="C11" s="524" t="s">
        <v>1801</v>
      </c>
    </row>
    <row r="12">
      <c r="A12" s="524" t="s">
        <v>1803</v>
      </c>
      <c r="B12" s="539" t="s">
        <v>1807</v>
      </c>
      <c r="C12" s="537" t="s">
        <v>1808</v>
      </c>
    </row>
    <row r="14">
      <c r="A14" s="540" t="s">
        <v>1806</v>
      </c>
      <c r="B14" s="541" t="s">
        <v>1791</v>
      </c>
      <c r="C14" s="542" t="s">
        <v>1792</v>
      </c>
      <c r="E14" s="4" t="s">
        <v>1806</v>
      </c>
      <c r="F14" s="4" t="s">
        <v>1791</v>
      </c>
      <c r="G14" s="4" t="s">
        <v>1792</v>
      </c>
    </row>
    <row r="15">
      <c r="A15" s="543" t="s">
        <v>1793</v>
      </c>
      <c r="B15" s="524" t="s">
        <v>1794</v>
      </c>
      <c r="C15" s="544" t="s">
        <v>1795</v>
      </c>
      <c r="E15" s="524" t="s">
        <v>1793</v>
      </c>
      <c r="F15" s="524" t="s">
        <v>1794</v>
      </c>
      <c r="G15" s="537" t="s">
        <v>1795</v>
      </c>
    </row>
    <row r="16">
      <c r="A16" s="543" t="s">
        <v>1797</v>
      </c>
      <c r="B16" s="524" t="s">
        <v>1798</v>
      </c>
      <c r="C16" s="544" t="s">
        <v>1799</v>
      </c>
      <c r="E16" s="524" t="s">
        <v>1797</v>
      </c>
      <c r="F16" s="524" t="s">
        <v>1798</v>
      </c>
      <c r="G16" s="537" t="s">
        <v>1799</v>
      </c>
    </row>
    <row r="17">
      <c r="A17" s="545" t="s">
        <v>1800</v>
      </c>
      <c r="B17" s="524" t="s">
        <v>1816</v>
      </c>
      <c r="C17" s="423"/>
      <c r="D17" s="4"/>
      <c r="E17" s="530" t="s">
        <v>1800</v>
      </c>
      <c r="F17" s="524" t="s">
        <v>1816</v>
      </c>
    </row>
    <row r="18">
      <c r="A18" s="546" t="s">
        <v>1803</v>
      </c>
      <c r="B18" s="547" t="s">
        <v>1819</v>
      </c>
      <c r="C18" s="549"/>
      <c r="D18" s="550" t="s">
        <v>1820</v>
      </c>
      <c r="E18" s="524" t="s">
        <v>1803</v>
      </c>
      <c r="F18" s="539" t="s">
        <v>1821</v>
      </c>
    </row>
  </sheetData>
  <mergeCells count="4">
    <mergeCell ref="B17:C17"/>
    <mergeCell ref="F17:G17"/>
    <mergeCell ref="B18:C18"/>
    <mergeCell ref="F18:G18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6.0"/>
    <col customWidth="1" min="3" max="3" width="30.63"/>
    <col customWidth="1" min="4" max="4" width="8.13"/>
    <col customWidth="1" min="5" max="5" width="31.75"/>
    <col customWidth="1" min="6" max="6" width="7.38"/>
    <col customWidth="1" min="7" max="7" width="30.5"/>
    <col customWidth="1" min="8" max="8" width="9.75"/>
    <col customWidth="1" min="9" max="9" width="31.25"/>
    <col customWidth="1" min="10" max="10" width="41.25"/>
    <col customWidth="1" min="11" max="11" width="31.25"/>
    <col customWidth="1" hidden="1" min="12" max="12" width="13.13"/>
    <col customWidth="1" hidden="1" min="13" max="13" width="10.88"/>
    <col customWidth="1" hidden="1" min="14" max="14" width="12.63"/>
    <col customWidth="1" hidden="1" min="15" max="15" width="9.63"/>
    <col customWidth="1" hidden="1" min="16" max="17" width="8.88"/>
    <col customWidth="1" hidden="1" min="18" max="18" width="22.63"/>
    <col customWidth="1" hidden="1" min="19" max="19" width="35.0"/>
    <col customWidth="1" min="20" max="20" width="48.88"/>
  </cols>
  <sheetData>
    <row r="1" ht="66.75" customHeight="1">
      <c r="A1" s="404"/>
      <c r="B1" s="404"/>
      <c r="C1" s="404" t="s">
        <v>1851</v>
      </c>
      <c r="T1" s="2" t="s">
        <v>1</v>
      </c>
    </row>
    <row r="2">
      <c r="A2" s="3"/>
      <c r="B2" s="3"/>
      <c r="C2" s="3" t="s">
        <v>2</v>
      </c>
      <c r="D2" s="3"/>
      <c r="E2" s="3"/>
      <c r="F2" s="3"/>
      <c r="G2" s="3"/>
      <c r="H2" s="5"/>
      <c r="I2" s="5"/>
      <c r="J2" s="5"/>
      <c r="K2" s="5"/>
      <c r="L2" s="5" t="s">
        <v>287</v>
      </c>
      <c r="T2" s="13" t="s">
        <v>6</v>
      </c>
    </row>
    <row r="3">
      <c r="A3" s="3"/>
      <c r="B3" s="3"/>
      <c r="C3" s="3" t="s">
        <v>14</v>
      </c>
      <c r="D3" s="3"/>
      <c r="E3" s="3"/>
      <c r="F3" s="3"/>
      <c r="G3" s="3"/>
      <c r="H3" s="5"/>
      <c r="I3" s="5"/>
      <c r="J3" s="5"/>
      <c r="K3" s="5"/>
      <c r="L3" s="5" t="s">
        <v>1474</v>
      </c>
    </row>
    <row r="4">
      <c r="A4" s="3"/>
      <c r="B4" s="3"/>
      <c r="C4" s="3" t="s">
        <v>1475</v>
      </c>
      <c r="D4" s="3"/>
      <c r="E4" s="3"/>
      <c r="F4" s="3"/>
      <c r="G4" s="3"/>
      <c r="H4" s="5"/>
      <c r="I4" s="5"/>
      <c r="J4" s="5"/>
      <c r="K4" s="5"/>
      <c r="L4" s="5" t="s">
        <v>1476</v>
      </c>
      <c r="T4" s="18" t="s">
        <v>20</v>
      </c>
    </row>
    <row r="5">
      <c r="A5" s="3"/>
      <c r="B5" s="3"/>
      <c r="C5" s="3" t="s">
        <v>26</v>
      </c>
      <c r="D5" s="3"/>
      <c r="E5" s="3"/>
      <c r="F5" s="3"/>
      <c r="G5" s="3"/>
      <c r="H5" s="19"/>
      <c r="I5" s="19"/>
      <c r="J5" s="19"/>
      <c r="K5" s="19"/>
      <c r="L5" s="19">
        <v>19.0</v>
      </c>
      <c r="T5" s="24" t="s">
        <v>30</v>
      </c>
    </row>
    <row r="6">
      <c r="A6" s="3"/>
      <c r="B6" s="3"/>
      <c r="C6" s="3" t="s">
        <v>34</v>
      </c>
      <c r="D6" s="3"/>
      <c r="E6" s="3"/>
      <c r="F6" s="3"/>
      <c r="G6" s="3"/>
      <c r="H6" s="19"/>
      <c r="I6" s="19"/>
      <c r="J6" s="19"/>
      <c r="K6" s="19"/>
      <c r="L6" s="19">
        <v>2.0</v>
      </c>
    </row>
    <row r="7">
      <c r="A7" s="3"/>
      <c r="B7" s="3"/>
      <c r="C7" s="3" t="s">
        <v>36</v>
      </c>
      <c r="D7" s="3"/>
      <c r="E7" s="3"/>
      <c r="F7" s="3"/>
      <c r="G7" s="3"/>
      <c r="H7" s="5"/>
      <c r="I7" s="5"/>
      <c r="J7" s="5"/>
      <c r="K7" s="5"/>
      <c r="L7" s="5" t="s">
        <v>1478</v>
      </c>
      <c r="T7" s="554"/>
    </row>
    <row r="8" ht="7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5"/>
      <c r="P8" s="406"/>
      <c r="Q8" s="406"/>
      <c r="R8" s="23"/>
      <c r="S8" s="407"/>
      <c r="T8" s="419"/>
    </row>
    <row r="9" ht="18.75" customHeight="1">
      <c r="A9" s="26"/>
      <c r="B9" s="26"/>
      <c r="C9" s="26" t="s">
        <v>1271</v>
      </c>
      <c r="T9" s="26"/>
    </row>
    <row r="10" ht="18.75" customHeight="1">
      <c r="A10" s="410"/>
      <c r="B10" s="410"/>
      <c r="C10" s="410" t="s">
        <v>1480</v>
      </c>
      <c r="T10" s="27"/>
    </row>
    <row r="11">
      <c r="A11" s="28"/>
      <c r="B11" s="28"/>
      <c r="C11" s="28" t="s">
        <v>41</v>
      </c>
      <c r="D11" s="28"/>
      <c r="E11" s="28"/>
      <c r="F11" s="28"/>
      <c r="G11" s="28"/>
      <c r="H11" s="28"/>
      <c r="I11" s="28"/>
      <c r="J11" s="28"/>
      <c r="K11" s="28"/>
      <c r="L11" s="28" t="s">
        <v>42</v>
      </c>
      <c r="M11" s="29" t="s">
        <v>43</v>
      </c>
      <c r="N11" s="28" t="s">
        <v>46</v>
      </c>
      <c r="O11" s="29" t="s">
        <v>47</v>
      </c>
      <c r="P11" s="29" t="s">
        <v>48</v>
      </c>
      <c r="Q11" s="29" t="s">
        <v>49</v>
      </c>
      <c r="R11" s="29" t="s">
        <v>50</v>
      </c>
      <c r="S11" s="29" t="s">
        <v>51</v>
      </c>
      <c r="T11" s="29" t="s">
        <v>1870</v>
      </c>
    </row>
    <row r="12">
      <c r="A12" s="557"/>
      <c r="B12" s="557">
        <v>9.0</v>
      </c>
      <c r="C12" s="557" t="s">
        <v>1482</v>
      </c>
      <c r="D12" s="557"/>
      <c r="E12" s="557"/>
      <c r="F12" s="557"/>
      <c r="G12" s="557"/>
      <c r="H12" s="27"/>
      <c r="I12" s="27"/>
      <c r="J12" s="27"/>
      <c r="K12" s="27"/>
      <c r="L12" s="27">
        <v>1.300422E7</v>
      </c>
      <c r="M12" s="27" t="b">
        <v>1</v>
      </c>
      <c r="N12" s="27" t="s">
        <v>58</v>
      </c>
      <c r="O12" s="37">
        <v>1.0</v>
      </c>
      <c r="P12" s="413">
        <v>45.0</v>
      </c>
      <c r="Q12" s="413"/>
      <c r="R12" s="37" t="s">
        <v>1484</v>
      </c>
      <c r="S12" s="414" t="s">
        <v>1485</v>
      </c>
      <c r="T12" s="67" t="s">
        <v>1486</v>
      </c>
    </row>
    <row r="13">
      <c r="A13" s="557"/>
      <c r="B13" s="557">
        <v>10.0</v>
      </c>
      <c r="C13" s="557" t="s">
        <v>1877</v>
      </c>
      <c r="D13" s="557"/>
      <c r="E13" s="557"/>
      <c r="F13" s="557"/>
      <c r="G13" s="557"/>
      <c r="H13" s="175"/>
      <c r="I13" s="175"/>
      <c r="J13" s="175"/>
      <c r="K13" s="175"/>
      <c r="L13" s="175">
        <v>1.30051E7</v>
      </c>
      <c r="M13" s="27" t="b">
        <v>1</v>
      </c>
      <c r="N13" s="27" t="s">
        <v>71</v>
      </c>
      <c r="O13" s="37">
        <v>2.0</v>
      </c>
      <c r="P13" s="413">
        <v>45.0</v>
      </c>
      <c r="Q13" s="413"/>
      <c r="R13" s="37" t="s">
        <v>1489</v>
      </c>
      <c r="S13" s="355" t="s">
        <v>1485</v>
      </c>
      <c r="T13" s="67" t="s">
        <v>1490</v>
      </c>
    </row>
    <row r="14">
      <c r="A14" s="562"/>
      <c r="B14" s="557">
        <v>11.0</v>
      </c>
      <c r="C14" s="562" t="s">
        <v>1880</v>
      </c>
      <c r="D14" s="562"/>
      <c r="E14" s="562"/>
      <c r="F14" s="562"/>
      <c r="G14" s="562"/>
      <c r="H14" s="175"/>
      <c r="I14" s="175"/>
      <c r="J14" s="175"/>
      <c r="K14" s="175"/>
      <c r="L14" s="175">
        <v>1.30052E7</v>
      </c>
      <c r="M14" s="27" t="b">
        <v>1</v>
      </c>
      <c r="N14" s="27" t="s">
        <v>82</v>
      </c>
      <c r="O14" s="37">
        <v>2.0</v>
      </c>
      <c r="P14" s="413">
        <v>32.0</v>
      </c>
      <c r="Q14" s="413"/>
      <c r="R14" s="37" t="s">
        <v>1492</v>
      </c>
      <c r="S14" s="355" t="s">
        <v>1485</v>
      </c>
      <c r="T14" s="67" t="s">
        <v>1493</v>
      </c>
    </row>
    <row r="15">
      <c r="A15" s="562"/>
      <c r="B15" s="557">
        <v>12.0</v>
      </c>
      <c r="C15" s="562" t="s">
        <v>1494</v>
      </c>
      <c r="D15" s="562"/>
      <c r="E15" s="562"/>
      <c r="F15" s="562"/>
      <c r="G15" s="562"/>
      <c r="H15" s="175"/>
      <c r="I15" s="175"/>
      <c r="J15" s="175"/>
      <c r="K15" s="175"/>
      <c r="L15" s="175">
        <v>1.300525E7</v>
      </c>
      <c r="M15" s="27" t="b">
        <v>1</v>
      </c>
      <c r="N15" s="27" t="s">
        <v>96</v>
      </c>
      <c r="O15" s="37">
        <v>2.0</v>
      </c>
      <c r="P15" s="413">
        <v>20.0</v>
      </c>
      <c r="Q15" s="413"/>
      <c r="R15" s="37" t="s">
        <v>1492</v>
      </c>
      <c r="S15" s="355" t="s">
        <v>1495</v>
      </c>
      <c r="T15" s="67"/>
    </row>
    <row r="16">
      <c r="A16" s="51"/>
      <c r="B16" s="51"/>
      <c r="C16" s="51"/>
      <c r="D16" s="51"/>
      <c r="E16" s="51"/>
      <c r="F16" s="51"/>
      <c r="G16" s="51"/>
      <c r="H16" s="52"/>
      <c r="I16" s="52"/>
      <c r="J16" s="52"/>
      <c r="K16" s="52"/>
      <c r="L16" s="52"/>
      <c r="M16" s="52"/>
      <c r="N16" s="52" t="s">
        <v>101</v>
      </c>
      <c r="O16" s="54">
        <f t="shared" ref="O16:Q16" si="1">sum(O12:O15)</f>
        <v>7</v>
      </c>
      <c r="P16" s="420">
        <f t="shared" si="1"/>
        <v>142</v>
      </c>
      <c r="Q16" s="420">
        <f t="shared" si="1"/>
        <v>0</v>
      </c>
      <c r="R16" s="54"/>
      <c r="S16" s="403"/>
      <c r="T16" s="427"/>
    </row>
    <row r="17" ht="7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5"/>
      <c r="P17" s="406"/>
      <c r="Q17" s="406"/>
      <c r="R17" s="23"/>
      <c r="S17" s="407"/>
      <c r="T17" s="419"/>
    </row>
    <row r="18" ht="18.75" customHeight="1">
      <c r="A18" s="26"/>
      <c r="B18" s="26"/>
      <c r="C18" s="26" t="s">
        <v>135</v>
      </c>
      <c r="T18" s="26"/>
    </row>
    <row r="19" ht="18.75" customHeight="1">
      <c r="A19" s="410"/>
      <c r="B19" s="410"/>
      <c r="C19" s="410" t="s">
        <v>1497</v>
      </c>
      <c r="T19" s="27"/>
    </row>
    <row r="20">
      <c r="A20" s="28"/>
      <c r="B20" s="28"/>
      <c r="C20" s="28" t="s">
        <v>41</v>
      </c>
      <c r="D20" s="28"/>
      <c r="E20" s="28"/>
      <c r="F20" s="28"/>
      <c r="G20" s="28"/>
      <c r="H20" s="28"/>
      <c r="I20" s="28"/>
      <c r="J20" s="28"/>
      <c r="K20" s="28"/>
      <c r="L20" s="28" t="s">
        <v>42</v>
      </c>
      <c r="M20" s="29" t="s">
        <v>43</v>
      </c>
      <c r="N20" s="28" t="s">
        <v>46</v>
      </c>
      <c r="O20" s="29" t="s">
        <v>47</v>
      </c>
      <c r="P20" s="29" t="s">
        <v>48</v>
      </c>
      <c r="Q20" s="29" t="s">
        <v>49</v>
      </c>
      <c r="R20" s="29" t="s">
        <v>50</v>
      </c>
      <c r="S20" s="29" t="s">
        <v>51</v>
      </c>
      <c r="T20" s="29" t="s">
        <v>1889</v>
      </c>
    </row>
    <row r="21">
      <c r="A21" s="562"/>
      <c r="B21" s="557">
        <v>9.0</v>
      </c>
      <c r="C21" s="562" t="s">
        <v>1502</v>
      </c>
      <c r="D21" s="562"/>
      <c r="E21" s="562"/>
      <c r="F21" s="562"/>
      <c r="G21" s="562"/>
      <c r="H21" s="175"/>
      <c r="I21" s="175"/>
      <c r="J21" s="175"/>
      <c r="K21" s="175"/>
      <c r="L21" s="175">
        <v>1.300422E7</v>
      </c>
      <c r="M21" s="27" t="b">
        <v>1</v>
      </c>
      <c r="N21" s="27" t="s">
        <v>58</v>
      </c>
      <c r="O21" s="37">
        <v>1.0</v>
      </c>
      <c r="P21" s="413">
        <v>30.0</v>
      </c>
      <c r="Q21" s="413"/>
      <c r="R21" s="37" t="s">
        <v>1484</v>
      </c>
      <c r="S21" s="414"/>
      <c r="T21" s="67" t="s">
        <v>1486</v>
      </c>
    </row>
    <row r="22">
      <c r="A22" s="562"/>
      <c r="B22" s="557">
        <v>10.0</v>
      </c>
      <c r="C22" s="562" t="s">
        <v>1892</v>
      </c>
      <c r="D22" s="562"/>
      <c r="E22" s="562"/>
      <c r="F22" s="562"/>
      <c r="G22" s="562"/>
      <c r="H22" s="175"/>
      <c r="I22" s="175"/>
      <c r="J22" s="175"/>
      <c r="K22" s="175"/>
      <c r="L22" s="175">
        <v>1.30056E7</v>
      </c>
      <c r="M22" s="27" t="b">
        <v>1</v>
      </c>
      <c r="N22" s="27" t="s">
        <v>71</v>
      </c>
      <c r="O22" s="37">
        <v>1.0</v>
      </c>
      <c r="P22" s="413">
        <v>30.0</v>
      </c>
      <c r="Q22" s="413"/>
      <c r="R22" s="37" t="s">
        <v>1894</v>
      </c>
      <c r="S22" s="355" t="s">
        <v>1517</v>
      </c>
      <c r="T22" s="67" t="s">
        <v>1518</v>
      </c>
    </row>
    <row r="23">
      <c r="A23" s="562"/>
      <c r="B23" s="557">
        <v>11.0</v>
      </c>
      <c r="C23" s="562" t="s">
        <v>1895</v>
      </c>
      <c r="D23" s="562"/>
      <c r="E23" s="562"/>
      <c r="F23" s="562"/>
      <c r="G23" s="562"/>
      <c r="H23" s="175"/>
      <c r="I23" s="175"/>
      <c r="J23" s="175"/>
      <c r="K23" s="175"/>
      <c r="L23" s="175">
        <v>1.30057E7</v>
      </c>
      <c r="M23" s="27" t="b">
        <v>1</v>
      </c>
      <c r="N23" s="27" t="s">
        <v>82</v>
      </c>
      <c r="O23" s="37">
        <v>2.0</v>
      </c>
      <c r="P23" s="413">
        <v>15.0</v>
      </c>
      <c r="Q23" s="413"/>
      <c r="R23" s="37" t="s">
        <v>1894</v>
      </c>
      <c r="S23" s="355" t="s">
        <v>1517</v>
      </c>
      <c r="T23" s="67" t="s">
        <v>1520</v>
      </c>
    </row>
    <row r="24">
      <c r="A24" s="562"/>
      <c r="B24" s="557">
        <v>12.0</v>
      </c>
      <c r="C24" s="562" t="s">
        <v>1494</v>
      </c>
      <c r="D24" s="562"/>
      <c r="E24" s="562"/>
      <c r="F24" s="562"/>
      <c r="G24" s="562"/>
      <c r="H24" s="175"/>
      <c r="I24" s="175"/>
      <c r="J24" s="175"/>
      <c r="K24" s="175"/>
      <c r="L24" s="175">
        <v>1.300525E7</v>
      </c>
      <c r="M24" s="27" t="b">
        <v>1</v>
      </c>
      <c r="N24" s="27" t="s">
        <v>96</v>
      </c>
      <c r="O24" s="37">
        <v>2.0</v>
      </c>
      <c r="P24" s="413">
        <v>15.0</v>
      </c>
      <c r="Q24" s="413"/>
      <c r="R24" s="37" t="s">
        <v>1894</v>
      </c>
      <c r="S24" s="355" t="s">
        <v>1517</v>
      </c>
      <c r="T24" s="67"/>
    </row>
    <row r="25">
      <c r="A25" s="51"/>
      <c r="B25" s="51"/>
      <c r="C25" s="51"/>
      <c r="D25" s="51"/>
      <c r="E25" s="51"/>
      <c r="F25" s="51"/>
      <c r="G25" s="51"/>
      <c r="H25" s="52"/>
      <c r="I25" s="52"/>
      <c r="J25" s="52"/>
      <c r="K25" s="52"/>
      <c r="L25" s="52"/>
      <c r="M25" s="52"/>
      <c r="N25" s="52" t="s">
        <v>101</v>
      </c>
      <c r="O25" s="54">
        <f t="shared" ref="O25:Q25" si="2">sum(O21:O24)</f>
        <v>6</v>
      </c>
      <c r="P25" s="420">
        <f t="shared" si="2"/>
        <v>90</v>
      </c>
      <c r="Q25" s="420">
        <f t="shared" si="2"/>
        <v>0</v>
      </c>
      <c r="R25" s="54"/>
      <c r="S25" s="403"/>
      <c r="T25" s="427"/>
    </row>
    <row r="26" ht="7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/>
      <c r="P26" s="406"/>
      <c r="Q26" s="406"/>
      <c r="R26" s="23"/>
      <c r="S26" s="407"/>
      <c r="T26" s="419"/>
    </row>
    <row r="27" ht="18.75" customHeight="1">
      <c r="A27" s="26"/>
      <c r="B27" s="26"/>
      <c r="C27" s="26" t="s">
        <v>111</v>
      </c>
      <c r="T27" s="26"/>
    </row>
    <row r="28" ht="18.75" customHeight="1">
      <c r="A28" s="101"/>
      <c r="B28" s="101"/>
      <c r="C28" s="101" t="s">
        <v>1524</v>
      </c>
      <c r="T28" s="27"/>
    </row>
    <row r="29">
      <c r="A29" s="28"/>
      <c r="B29" s="28"/>
      <c r="C29" s="28" t="s">
        <v>41</v>
      </c>
      <c r="D29" s="28"/>
      <c r="E29" s="28"/>
      <c r="F29" s="28"/>
      <c r="G29" s="28"/>
      <c r="H29" s="28"/>
      <c r="I29" s="28"/>
      <c r="J29" s="28"/>
      <c r="K29" s="28"/>
      <c r="L29" s="28" t="s">
        <v>42</v>
      </c>
      <c r="M29" s="29" t="s">
        <v>43</v>
      </c>
      <c r="N29" s="28" t="s">
        <v>46</v>
      </c>
      <c r="O29" s="29" t="s">
        <v>47</v>
      </c>
      <c r="P29" s="29" t="s">
        <v>48</v>
      </c>
      <c r="Q29" s="29" t="s">
        <v>49</v>
      </c>
      <c r="R29" s="29" t="s">
        <v>50</v>
      </c>
      <c r="S29" s="29" t="s">
        <v>51</v>
      </c>
      <c r="T29" s="29" t="s">
        <v>1902</v>
      </c>
    </row>
    <row r="30">
      <c r="A30" s="557"/>
      <c r="B30" s="557">
        <v>9.0</v>
      </c>
      <c r="C30" s="557" t="s">
        <v>1903</v>
      </c>
      <c r="D30" s="557"/>
      <c r="E30" s="557"/>
      <c r="F30" s="557"/>
      <c r="G30" s="557"/>
      <c r="H30" s="175"/>
      <c r="I30" s="175"/>
      <c r="J30" s="175"/>
      <c r="K30" s="175"/>
      <c r="L30" s="175">
        <v>1.300422E7</v>
      </c>
      <c r="M30" s="27" t="b">
        <v>1</v>
      </c>
      <c r="N30" s="27" t="s">
        <v>58</v>
      </c>
      <c r="O30" s="37">
        <v>1.0</v>
      </c>
      <c r="P30" s="413">
        <v>45.0</v>
      </c>
      <c r="Q30" s="413"/>
      <c r="R30" s="37" t="s">
        <v>1484</v>
      </c>
      <c r="S30" s="414"/>
      <c r="T30" s="67" t="s">
        <v>1486</v>
      </c>
    </row>
    <row r="31">
      <c r="A31" s="562"/>
      <c r="B31" s="557">
        <v>10.0</v>
      </c>
      <c r="C31" s="562" t="s">
        <v>1904</v>
      </c>
      <c r="D31" s="562"/>
      <c r="E31" s="562"/>
      <c r="F31" s="562"/>
      <c r="G31" s="562"/>
      <c r="H31" s="175"/>
      <c r="I31" s="175"/>
      <c r="J31" s="175"/>
      <c r="K31" s="175"/>
      <c r="L31" s="175">
        <v>1.30058E7</v>
      </c>
      <c r="M31" s="27" t="b">
        <v>1</v>
      </c>
      <c r="N31" s="27" t="s">
        <v>71</v>
      </c>
      <c r="O31" s="37">
        <v>1.0</v>
      </c>
      <c r="P31" s="413">
        <v>45.0</v>
      </c>
      <c r="Q31" s="413"/>
      <c r="R31" s="37" t="s">
        <v>1535</v>
      </c>
      <c r="S31" s="414" t="s">
        <v>1905</v>
      </c>
      <c r="T31" s="67" t="s">
        <v>1545</v>
      </c>
    </row>
    <row r="32">
      <c r="A32" s="562"/>
      <c r="B32" s="557">
        <v>11.0</v>
      </c>
      <c r="C32" s="562" t="s">
        <v>1906</v>
      </c>
      <c r="D32" s="562"/>
      <c r="E32" s="562"/>
      <c r="F32" s="562"/>
      <c r="G32" s="562"/>
      <c r="H32" s="175"/>
      <c r="I32" s="175"/>
      <c r="J32" s="175"/>
      <c r="K32" s="175"/>
      <c r="L32" s="175">
        <v>1.30059E7</v>
      </c>
      <c r="M32" s="27" t="b">
        <v>1</v>
      </c>
      <c r="N32" s="27" t="s">
        <v>82</v>
      </c>
      <c r="O32" s="37">
        <v>2.0</v>
      </c>
      <c r="P32" s="413">
        <v>30.0</v>
      </c>
      <c r="Q32" s="413"/>
      <c r="R32" s="37" t="s">
        <v>1516</v>
      </c>
      <c r="S32" s="414" t="s">
        <v>1910</v>
      </c>
      <c r="T32" s="67" t="s">
        <v>1911</v>
      </c>
    </row>
    <row r="33">
      <c r="A33" s="562"/>
      <c r="B33" s="557">
        <v>12.0</v>
      </c>
      <c r="C33" s="562" t="s">
        <v>1494</v>
      </c>
      <c r="D33" s="562"/>
      <c r="E33" s="562"/>
      <c r="F33" s="562"/>
      <c r="G33" s="562"/>
      <c r="H33" s="175"/>
      <c r="I33" s="175"/>
      <c r="J33" s="175"/>
      <c r="K33" s="175"/>
      <c r="L33" s="175">
        <v>1.300525E7</v>
      </c>
      <c r="M33" s="27" t="b">
        <v>1</v>
      </c>
      <c r="N33" s="27" t="s">
        <v>96</v>
      </c>
      <c r="O33" s="37">
        <v>2.0</v>
      </c>
      <c r="P33" s="413">
        <v>15.0</v>
      </c>
      <c r="Q33" s="413"/>
      <c r="R33" s="37" t="s">
        <v>1516</v>
      </c>
      <c r="S33" s="414" t="s">
        <v>1910</v>
      </c>
      <c r="T33" s="67"/>
    </row>
    <row r="34">
      <c r="A34" s="51"/>
      <c r="B34" s="51"/>
      <c r="C34" s="51"/>
      <c r="D34" s="51"/>
      <c r="E34" s="51"/>
      <c r="F34" s="51"/>
      <c r="G34" s="51"/>
      <c r="H34" s="52"/>
      <c r="I34" s="52"/>
      <c r="J34" s="52"/>
      <c r="K34" s="52"/>
      <c r="L34" s="52"/>
      <c r="M34" s="52"/>
      <c r="N34" s="52" t="s">
        <v>101</v>
      </c>
      <c r="O34" s="54">
        <f t="shared" ref="O34:Q34" si="3">sum(O30:O33)</f>
        <v>6</v>
      </c>
      <c r="P34" s="420">
        <f t="shared" si="3"/>
        <v>135</v>
      </c>
      <c r="Q34" s="420">
        <f t="shared" si="3"/>
        <v>0</v>
      </c>
      <c r="R34" s="54"/>
      <c r="S34" s="403"/>
      <c r="T34" s="427"/>
    </row>
    <row r="35" ht="7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5"/>
      <c r="P35" s="406"/>
      <c r="Q35" s="406"/>
      <c r="R35" s="23"/>
      <c r="S35" s="407"/>
      <c r="T35" s="419"/>
    </row>
    <row r="36" ht="18.75" customHeight="1">
      <c r="A36" s="26"/>
      <c r="B36" s="26"/>
      <c r="C36" s="26" t="s">
        <v>169</v>
      </c>
      <c r="T36" s="26"/>
    </row>
    <row r="37" ht="18.75" customHeight="1">
      <c r="A37" s="101"/>
      <c r="B37" s="101"/>
      <c r="C37" s="101" t="s">
        <v>1522</v>
      </c>
      <c r="T37" s="27"/>
    </row>
    <row r="38">
      <c r="A38" s="28"/>
      <c r="B38" s="28"/>
      <c r="C38" s="28" t="s">
        <v>41</v>
      </c>
      <c r="D38" s="28"/>
      <c r="E38" s="28"/>
      <c r="F38" s="28"/>
      <c r="G38" s="28"/>
      <c r="H38" s="28"/>
      <c r="I38" s="28"/>
      <c r="J38" s="28"/>
      <c r="K38" s="28"/>
      <c r="L38" s="28" t="s">
        <v>42</v>
      </c>
      <c r="M38" s="29" t="s">
        <v>43</v>
      </c>
      <c r="N38" s="28" t="s">
        <v>46</v>
      </c>
      <c r="O38" s="29" t="s">
        <v>47</v>
      </c>
      <c r="P38" s="29" t="s">
        <v>48</v>
      </c>
      <c r="Q38" s="29" t="s">
        <v>49</v>
      </c>
      <c r="R38" s="29" t="s">
        <v>50</v>
      </c>
      <c r="S38" s="29" t="s">
        <v>51</v>
      </c>
      <c r="T38" s="29" t="s">
        <v>1917</v>
      </c>
    </row>
    <row r="39">
      <c r="A39" s="562"/>
      <c r="B39" s="557">
        <v>9.0</v>
      </c>
      <c r="C39" s="562" t="s">
        <v>1502</v>
      </c>
      <c r="D39" s="562"/>
      <c r="E39" s="562"/>
      <c r="F39" s="562"/>
      <c r="G39" s="562"/>
      <c r="H39" s="175"/>
      <c r="I39" s="175"/>
      <c r="J39" s="175"/>
      <c r="K39" s="175"/>
      <c r="L39" s="175">
        <v>1.300422E7</v>
      </c>
      <c r="M39" s="27" t="b">
        <v>1</v>
      </c>
      <c r="N39" s="27" t="s">
        <v>58</v>
      </c>
      <c r="O39" s="37">
        <v>1.0</v>
      </c>
      <c r="P39" s="413">
        <v>20.0</v>
      </c>
      <c r="Q39" s="413"/>
      <c r="R39" s="37" t="s">
        <v>1484</v>
      </c>
      <c r="S39" s="414"/>
      <c r="T39" s="67" t="s">
        <v>1486</v>
      </c>
    </row>
    <row r="40">
      <c r="A40" s="562"/>
      <c r="B40" s="557">
        <v>10.0</v>
      </c>
      <c r="C40" s="562" t="s">
        <v>1923</v>
      </c>
      <c r="D40" s="562"/>
      <c r="E40" s="562"/>
      <c r="F40" s="562"/>
      <c r="G40" s="562"/>
      <c r="H40" s="175"/>
      <c r="I40" s="175"/>
      <c r="J40" s="175"/>
      <c r="K40" s="175"/>
      <c r="L40" s="175">
        <v>1.3006E7</v>
      </c>
      <c r="M40" s="27" t="b">
        <v>1</v>
      </c>
      <c r="N40" s="27" t="s">
        <v>71</v>
      </c>
      <c r="O40" s="37">
        <v>1.0</v>
      </c>
      <c r="P40" s="413">
        <v>15.0</v>
      </c>
      <c r="Q40" s="413"/>
      <c r="R40" s="37" t="s">
        <v>1924</v>
      </c>
      <c r="S40" s="414" t="s">
        <v>1547</v>
      </c>
      <c r="T40" s="67" t="s">
        <v>1548</v>
      </c>
    </row>
    <row r="41">
      <c r="A41" s="562"/>
      <c r="B41" s="557">
        <v>11.0</v>
      </c>
      <c r="C41" s="562" t="s">
        <v>1925</v>
      </c>
      <c r="D41" s="562"/>
      <c r="E41" s="562"/>
      <c r="F41" s="562"/>
      <c r="G41" s="562"/>
      <c r="H41" s="175"/>
      <c r="I41" s="175"/>
      <c r="J41" s="175"/>
      <c r="K41" s="175"/>
      <c r="L41" s="175">
        <v>1.30061E7</v>
      </c>
      <c r="M41" s="27" t="b">
        <v>1</v>
      </c>
      <c r="N41" s="27" t="s">
        <v>82</v>
      </c>
      <c r="O41" s="37">
        <v>2.0</v>
      </c>
      <c r="P41" s="413">
        <v>15.0</v>
      </c>
      <c r="Q41" s="413"/>
      <c r="R41" s="37" t="s">
        <v>1924</v>
      </c>
      <c r="S41" s="414" t="s">
        <v>1547</v>
      </c>
      <c r="T41" s="67" t="s">
        <v>1551</v>
      </c>
    </row>
    <row r="42">
      <c r="A42" s="562"/>
      <c r="B42" s="557">
        <v>12.0</v>
      </c>
      <c r="C42" s="562" t="s">
        <v>1494</v>
      </c>
      <c r="D42" s="562"/>
      <c r="E42" s="562"/>
      <c r="F42" s="562"/>
      <c r="G42" s="562"/>
      <c r="H42" s="175"/>
      <c r="I42" s="175"/>
      <c r="J42" s="175"/>
      <c r="K42" s="175"/>
      <c r="L42" s="175">
        <v>1.300525E7</v>
      </c>
      <c r="M42" s="27" t="b">
        <v>1</v>
      </c>
      <c r="N42" s="27" t="s">
        <v>96</v>
      </c>
      <c r="O42" s="37">
        <v>2.0</v>
      </c>
      <c r="P42" s="413">
        <v>15.0</v>
      </c>
      <c r="Q42" s="413"/>
      <c r="R42" s="37" t="s">
        <v>1924</v>
      </c>
      <c r="S42" s="414" t="s">
        <v>1547</v>
      </c>
      <c r="T42" s="67"/>
    </row>
    <row r="43">
      <c r="A43" s="51"/>
      <c r="B43" s="51"/>
      <c r="C43" s="51"/>
      <c r="D43" s="51"/>
      <c r="E43" s="51"/>
      <c r="F43" s="51"/>
      <c r="G43" s="51"/>
      <c r="H43" s="52"/>
      <c r="I43" s="52"/>
      <c r="J43" s="52"/>
      <c r="K43" s="52"/>
      <c r="L43" s="52"/>
      <c r="M43" s="52"/>
      <c r="N43" s="52" t="s">
        <v>101</v>
      </c>
      <c r="O43" s="54">
        <f t="shared" ref="O43:Q43" si="4">sum(O39:O42)</f>
        <v>6</v>
      </c>
      <c r="P43" s="420">
        <f t="shared" si="4"/>
        <v>65</v>
      </c>
      <c r="Q43" s="420">
        <f t="shared" si="4"/>
        <v>0</v>
      </c>
      <c r="R43" s="54"/>
      <c r="S43" s="403"/>
      <c r="T43" s="427"/>
    </row>
    <row r="44" ht="7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5"/>
      <c r="P44" s="406"/>
      <c r="Q44" s="406"/>
      <c r="R44" s="23"/>
      <c r="S44" s="407"/>
      <c r="T44" s="419"/>
    </row>
    <row r="45" ht="18.75" customHeight="1">
      <c r="A45" s="26"/>
      <c r="B45" s="26"/>
      <c r="C45" s="26" t="s">
        <v>205</v>
      </c>
      <c r="T45" s="26"/>
    </row>
    <row r="46" ht="18.75" customHeight="1">
      <c r="A46" s="101"/>
      <c r="B46" s="101"/>
      <c r="C46" s="101" t="s">
        <v>1553</v>
      </c>
      <c r="T46" s="27"/>
    </row>
    <row r="47">
      <c r="A47" s="28"/>
      <c r="B47" s="28"/>
      <c r="C47" s="28" t="s">
        <v>41</v>
      </c>
      <c r="D47" s="28"/>
      <c r="E47" s="28"/>
      <c r="F47" s="28"/>
      <c r="G47" s="28"/>
      <c r="H47" s="28"/>
      <c r="I47" s="28"/>
      <c r="J47" s="28"/>
      <c r="K47" s="28"/>
      <c r="L47" s="28" t="s">
        <v>42</v>
      </c>
      <c r="M47" s="29" t="s">
        <v>43</v>
      </c>
      <c r="N47" s="28" t="s">
        <v>46</v>
      </c>
      <c r="O47" s="29" t="s">
        <v>47</v>
      </c>
      <c r="P47" s="29" t="s">
        <v>48</v>
      </c>
      <c r="Q47" s="29" t="s">
        <v>49</v>
      </c>
      <c r="R47" s="29" t="s">
        <v>50</v>
      </c>
      <c r="S47" s="29" t="s">
        <v>51</v>
      </c>
      <c r="T47" s="29" t="s">
        <v>1931</v>
      </c>
    </row>
    <row r="48">
      <c r="A48" s="562"/>
      <c r="B48" s="557">
        <v>9.0</v>
      </c>
      <c r="C48" s="562" t="s">
        <v>959</v>
      </c>
      <c r="D48" s="562"/>
      <c r="E48" s="562"/>
      <c r="F48" s="562"/>
      <c r="G48" s="562"/>
      <c r="H48" s="377"/>
      <c r="I48" s="377"/>
      <c r="J48" s="377"/>
      <c r="K48" s="377"/>
      <c r="L48" s="377">
        <v>1.300421E7</v>
      </c>
      <c r="M48" s="27" t="b">
        <v>1</v>
      </c>
      <c r="N48" s="27" t="s">
        <v>58</v>
      </c>
      <c r="O48" s="37">
        <v>1.0</v>
      </c>
      <c r="P48" s="413">
        <v>72.0</v>
      </c>
      <c r="Q48" s="413"/>
      <c r="R48" s="37" t="s">
        <v>1558</v>
      </c>
      <c r="S48" s="37" t="s">
        <v>200</v>
      </c>
      <c r="T48" s="45" t="s">
        <v>1762</v>
      </c>
    </row>
    <row r="49">
      <c r="A49" s="557"/>
      <c r="B49" s="557">
        <v>10.0</v>
      </c>
      <c r="C49" s="557" t="s">
        <v>1932</v>
      </c>
      <c r="D49" s="557"/>
      <c r="E49" s="557"/>
      <c r="F49" s="557"/>
      <c r="G49" s="557"/>
      <c r="H49" s="431"/>
      <c r="I49" s="431"/>
      <c r="J49" s="431"/>
      <c r="K49" s="431"/>
      <c r="L49" s="431">
        <v>1.30046E7</v>
      </c>
      <c r="M49" s="27" t="b">
        <v>1</v>
      </c>
      <c r="N49" s="27" t="s">
        <v>71</v>
      </c>
      <c r="O49" s="37">
        <v>1.0</v>
      </c>
      <c r="P49" s="413">
        <v>36.0</v>
      </c>
      <c r="Q49" s="413"/>
      <c r="R49" s="37" t="s">
        <v>1563</v>
      </c>
      <c r="S49" s="37" t="s">
        <v>1564</v>
      </c>
      <c r="T49" s="45" t="s">
        <v>1020</v>
      </c>
    </row>
    <row r="50">
      <c r="A50" s="578"/>
      <c r="B50" s="578"/>
      <c r="C50" s="578" t="s">
        <v>1027</v>
      </c>
      <c r="D50" s="578"/>
      <c r="E50" s="578"/>
      <c r="F50" s="578"/>
      <c r="G50" s="578"/>
      <c r="H50" s="579"/>
      <c r="I50" s="579"/>
      <c r="J50" s="579"/>
      <c r="K50" s="579"/>
      <c r="L50" s="579" t="s">
        <v>1028</v>
      </c>
      <c r="M50" s="79" t="b">
        <v>0</v>
      </c>
      <c r="N50" s="79" t="s">
        <v>71</v>
      </c>
      <c r="O50" s="137">
        <v>1.0</v>
      </c>
      <c r="P50" s="581">
        <v>0.0</v>
      </c>
      <c r="Q50" s="581"/>
      <c r="R50" s="137" t="s">
        <v>1454</v>
      </c>
      <c r="S50" s="137" t="s">
        <v>1454</v>
      </c>
      <c r="T50" s="582" t="s">
        <v>1938</v>
      </c>
    </row>
    <row r="51">
      <c r="A51" s="557"/>
      <c r="B51" s="557">
        <v>11.0</v>
      </c>
      <c r="C51" s="557" t="s">
        <v>1939</v>
      </c>
      <c r="D51" s="557"/>
      <c r="E51" s="557"/>
      <c r="F51" s="557"/>
      <c r="G51" s="557"/>
      <c r="H51" s="431"/>
      <c r="I51" s="431"/>
      <c r="J51" s="431"/>
      <c r="K51" s="431"/>
      <c r="L51" s="431">
        <v>1.30047E7</v>
      </c>
      <c r="M51" s="27" t="b">
        <v>1</v>
      </c>
      <c r="N51" s="27" t="s">
        <v>82</v>
      </c>
      <c r="O51" s="37">
        <v>2.0</v>
      </c>
      <c r="P51" s="413">
        <v>18.0</v>
      </c>
      <c r="Q51" s="413"/>
      <c r="R51" s="37" t="s">
        <v>1563</v>
      </c>
      <c r="S51" s="37" t="s">
        <v>1564</v>
      </c>
      <c r="T51" s="45" t="s">
        <v>1941</v>
      </c>
    </row>
    <row r="52">
      <c r="A52" s="557"/>
      <c r="B52" s="557">
        <v>12.0</v>
      </c>
      <c r="C52" s="557" t="s">
        <v>963</v>
      </c>
      <c r="D52" s="557"/>
      <c r="E52" s="557"/>
      <c r="F52" s="557"/>
      <c r="G52" s="557"/>
      <c r="H52" s="431"/>
      <c r="I52" s="431"/>
      <c r="J52" s="431"/>
      <c r="K52" s="431"/>
      <c r="L52" s="431">
        <v>1.30048E7</v>
      </c>
      <c r="M52" s="27" t="b">
        <v>1</v>
      </c>
      <c r="N52" s="27" t="s">
        <v>96</v>
      </c>
      <c r="O52" s="37">
        <v>2.0</v>
      </c>
      <c r="P52" s="413">
        <v>18.0</v>
      </c>
      <c r="Q52" s="413"/>
      <c r="R52" s="37" t="s">
        <v>1563</v>
      </c>
      <c r="S52" s="37" t="s">
        <v>1564</v>
      </c>
      <c r="T52" s="291" t="s">
        <v>1944</v>
      </c>
    </row>
    <row r="53">
      <c r="A53" s="51"/>
      <c r="B53" s="51"/>
      <c r="C53" s="51"/>
      <c r="D53" s="51"/>
      <c r="E53" s="51"/>
      <c r="F53" s="51"/>
      <c r="G53" s="51"/>
      <c r="H53" s="52"/>
      <c r="I53" s="52"/>
      <c r="J53" s="52"/>
      <c r="K53" s="52"/>
      <c r="L53" s="52"/>
      <c r="M53" s="52"/>
      <c r="N53" s="52" t="s">
        <v>101</v>
      </c>
      <c r="O53" s="54">
        <f t="shared" ref="O53:Q53" si="5">sum(O48:O52)</f>
        <v>7</v>
      </c>
      <c r="P53" s="420">
        <f t="shared" si="5"/>
        <v>144</v>
      </c>
      <c r="Q53" s="420">
        <f t="shared" si="5"/>
        <v>0</v>
      </c>
      <c r="R53" s="54"/>
      <c r="S53" s="403"/>
      <c r="T53" s="427"/>
    </row>
    <row r="54">
      <c r="A54" s="166"/>
      <c r="B54" s="166"/>
      <c r="C54" s="166"/>
      <c r="D54" s="166"/>
      <c r="E54" s="166"/>
      <c r="F54" s="166"/>
      <c r="G54" s="166"/>
      <c r="H54" s="276"/>
      <c r="I54" s="276"/>
      <c r="J54" s="276"/>
      <c r="K54" s="276"/>
      <c r="L54" s="276"/>
      <c r="M54" s="276"/>
      <c r="N54" s="276"/>
      <c r="O54" s="166"/>
      <c r="P54" s="278"/>
      <c r="Q54" s="278"/>
      <c r="R54" s="166"/>
      <c r="S54" s="433"/>
      <c r="T54" s="433"/>
    </row>
    <row r="55">
      <c r="A55" s="435"/>
      <c r="B55" s="435"/>
      <c r="C55" s="435" t="s">
        <v>251</v>
      </c>
      <c r="T55" s="584"/>
    </row>
    <row r="56" ht="18.75" customHeight="1">
      <c r="A56" s="101"/>
      <c r="B56" s="101"/>
      <c r="C56" s="101" t="s">
        <v>1571</v>
      </c>
      <c r="T56" s="27"/>
    </row>
    <row r="57">
      <c r="A57" s="233"/>
      <c r="B57" s="233"/>
      <c r="C57" s="233" t="s">
        <v>41</v>
      </c>
      <c r="D57" s="233"/>
      <c r="E57" s="233"/>
      <c r="F57" s="233"/>
      <c r="G57" s="233"/>
      <c r="H57" s="233"/>
      <c r="I57" s="233"/>
      <c r="J57" s="233"/>
      <c r="K57" s="233"/>
      <c r="L57" s="233" t="s">
        <v>42</v>
      </c>
      <c r="M57" s="234" t="s">
        <v>43</v>
      </c>
      <c r="N57" s="233" t="s">
        <v>46</v>
      </c>
      <c r="O57" s="234" t="s">
        <v>47</v>
      </c>
      <c r="P57" s="29" t="s">
        <v>48</v>
      </c>
      <c r="Q57" s="29" t="s">
        <v>49</v>
      </c>
      <c r="R57" s="234" t="s">
        <v>50</v>
      </c>
      <c r="S57" s="234" t="s">
        <v>51</v>
      </c>
      <c r="T57" s="437" t="s">
        <v>1949</v>
      </c>
    </row>
    <row r="58">
      <c r="A58" s="562"/>
      <c r="B58" s="540" t="s">
        <v>1806</v>
      </c>
      <c r="C58" s="541" t="s">
        <v>1791</v>
      </c>
      <c r="D58" s="542" t="s">
        <v>1792</v>
      </c>
      <c r="E58" s="557"/>
      <c r="F58" s="562"/>
      <c r="G58" s="562"/>
      <c r="H58" s="377"/>
      <c r="I58" s="377"/>
      <c r="J58" s="377"/>
      <c r="K58" s="377"/>
      <c r="L58" s="377">
        <v>1.300421E7</v>
      </c>
      <c r="M58" s="27" t="b">
        <v>1</v>
      </c>
      <c r="N58" s="27" t="s">
        <v>58</v>
      </c>
      <c r="O58" s="37">
        <v>1.0</v>
      </c>
      <c r="P58" s="413">
        <v>72.0</v>
      </c>
      <c r="Q58" s="413"/>
      <c r="R58" s="37" t="s">
        <v>1558</v>
      </c>
      <c r="S58" s="37"/>
      <c r="T58" s="291" t="s">
        <v>1762</v>
      </c>
    </row>
    <row r="59">
      <c r="A59" s="562"/>
      <c r="B59" s="543" t="s">
        <v>1793</v>
      </c>
      <c r="C59" s="524" t="s">
        <v>1794</v>
      </c>
      <c r="D59" s="544" t="s">
        <v>1795</v>
      </c>
      <c r="E59" s="557"/>
      <c r="F59" s="562"/>
      <c r="G59" s="562"/>
      <c r="H59" s="377"/>
      <c r="I59" s="377"/>
      <c r="J59" s="377"/>
      <c r="K59" s="377"/>
      <c r="L59" s="377"/>
      <c r="M59" s="27" t="b">
        <v>0</v>
      </c>
      <c r="N59" s="27"/>
      <c r="O59" s="37"/>
      <c r="P59" s="413"/>
      <c r="Q59" s="413"/>
      <c r="R59" s="37"/>
      <c r="S59" s="37"/>
      <c r="T59" s="291"/>
    </row>
    <row r="60">
      <c r="A60" s="557"/>
      <c r="B60" s="543" t="s">
        <v>1797</v>
      </c>
      <c r="C60" s="524" t="s">
        <v>1798</v>
      </c>
      <c r="D60" s="544" t="s">
        <v>1799</v>
      </c>
      <c r="E60" s="557"/>
      <c r="F60" s="557"/>
      <c r="G60" s="557"/>
      <c r="H60" s="377"/>
      <c r="I60" s="377"/>
      <c r="J60" s="377"/>
      <c r="K60" s="377"/>
      <c r="L60" s="377">
        <v>1.30043E7</v>
      </c>
      <c r="M60" s="27" t="b">
        <v>1</v>
      </c>
      <c r="N60" s="27" t="s">
        <v>71</v>
      </c>
      <c r="O60" s="37">
        <v>1.0</v>
      </c>
      <c r="P60" s="413">
        <v>48.0</v>
      </c>
      <c r="Q60" s="413"/>
      <c r="R60" s="37" t="s">
        <v>1588</v>
      </c>
      <c r="S60" s="37" t="s">
        <v>1954</v>
      </c>
      <c r="T60" s="75" t="s">
        <v>1026</v>
      </c>
    </row>
    <row r="61">
      <c r="A61" s="557"/>
      <c r="B61" s="545" t="s">
        <v>1800</v>
      </c>
      <c r="C61" s="524" t="s">
        <v>1816</v>
      </c>
      <c r="D61" s="423"/>
      <c r="E61" s="557"/>
      <c r="F61" s="557"/>
      <c r="G61" s="557"/>
      <c r="H61" s="377"/>
      <c r="I61" s="377"/>
      <c r="J61" s="377"/>
      <c r="K61" s="377"/>
      <c r="L61" s="377"/>
      <c r="M61" s="27" t="b">
        <v>0</v>
      </c>
      <c r="N61" s="27"/>
      <c r="O61" s="37"/>
      <c r="P61" s="413"/>
      <c r="Q61" s="413"/>
      <c r="R61" s="37"/>
      <c r="S61" s="37"/>
      <c r="T61" s="75"/>
    </row>
    <row r="62">
      <c r="A62" s="578"/>
      <c r="B62" s="546" t="s">
        <v>1803</v>
      </c>
      <c r="C62" s="547" t="s">
        <v>1819</v>
      </c>
      <c r="D62" s="549"/>
      <c r="E62" s="586" t="s">
        <v>1955</v>
      </c>
      <c r="F62" s="578"/>
      <c r="G62" s="578"/>
      <c r="H62" s="579"/>
      <c r="I62" s="579"/>
      <c r="J62" s="579"/>
      <c r="K62" s="579"/>
      <c r="L62" s="579" t="s">
        <v>1028</v>
      </c>
      <c r="M62" s="79" t="b">
        <v>1</v>
      </c>
      <c r="N62" s="79" t="s">
        <v>71</v>
      </c>
      <c r="O62" s="137">
        <v>1.0</v>
      </c>
      <c r="P62" s="581">
        <v>0.0</v>
      </c>
      <c r="Q62" s="581"/>
      <c r="R62" s="37" t="s">
        <v>1588</v>
      </c>
      <c r="S62" s="37" t="s">
        <v>1954</v>
      </c>
      <c r="T62" s="587" t="s">
        <v>466</v>
      </c>
    </row>
    <row r="63">
      <c r="A63" s="588" t="s">
        <v>1956</v>
      </c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 t="s">
        <v>101</v>
      </c>
      <c r="O63" s="447">
        <f t="shared" ref="O63:Q63" si="6">sum(O58:O62)</f>
        <v>3</v>
      </c>
      <c r="P63" s="447">
        <f t="shared" si="6"/>
        <v>120</v>
      </c>
      <c r="Q63" s="447">
        <f t="shared" si="6"/>
        <v>0</v>
      </c>
      <c r="R63" s="264"/>
      <c r="S63" s="264"/>
      <c r="T63" s="589"/>
    </row>
    <row r="64">
      <c r="A64" s="459"/>
      <c r="B64" s="459"/>
      <c r="C64" s="459"/>
      <c r="D64" s="459"/>
      <c r="E64" s="459"/>
      <c r="F64" s="459"/>
      <c r="G64" s="459"/>
      <c r="H64" s="459"/>
      <c r="I64" s="459"/>
      <c r="J64" s="459"/>
      <c r="K64" s="459"/>
      <c r="L64" s="459"/>
      <c r="M64" s="459"/>
      <c r="N64" s="459"/>
      <c r="O64" s="459"/>
      <c r="P64" s="460"/>
      <c r="Q64" s="460"/>
      <c r="R64" s="459"/>
      <c r="S64" s="459"/>
      <c r="T64" s="590"/>
    </row>
    <row r="65">
      <c r="A65" s="152"/>
      <c r="B65" s="152"/>
      <c r="C65" s="152" t="s">
        <v>1603</v>
      </c>
      <c r="T65" s="591"/>
    </row>
    <row r="66">
      <c r="A66" s="101"/>
      <c r="B66" s="101"/>
      <c r="C66" s="101" t="s">
        <v>1726</v>
      </c>
      <c r="T66" s="206"/>
    </row>
    <row r="67">
      <c r="A67" s="28"/>
      <c r="B67" s="28"/>
      <c r="C67" s="28" t="s">
        <v>41</v>
      </c>
      <c r="D67" s="28"/>
      <c r="E67" s="28"/>
      <c r="F67" s="28"/>
      <c r="G67" s="28"/>
      <c r="H67" s="28"/>
      <c r="I67" s="28"/>
      <c r="J67" s="28"/>
      <c r="K67" s="28"/>
      <c r="L67" s="28" t="s">
        <v>42</v>
      </c>
      <c r="M67" s="29" t="s">
        <v>43</v>
      </c>
      <c r="N67" s="28" t="s">
        <v>46</v>
      </c>
      <c r="O67" s="29" t="s">
        <v>47</v>
      </c>
      <c r="P67" s="29" t="s">
        <v>48</v>
      </c>
      <c r="Q67" s="29" t="s">
        <v>49</v>
      </c>
      <c r="R67" s="29" t="s">
        <v>50</v>
      </c>
      <c r="S67" s="29" t="s">
        <v>51</v>
      </c>
      <c r="T67" s="157" t="s">
        <v>1957</v>
      </c>
    </row>
    <row r="68">
      <c r="A68" s="557" t="s">
        <v>1958</v>
      </c>
      <c r="B68" s="557">
        <v>9.0</v>
      </c>
      <c r="C68" s="557" t="s">
        <v>1959</v>
      </c>
      <c r="D68" s="562"/>
      <c r="E68" s="557" t="s">
        <v>1960</v>
      </c>
      <c r="F68" s="592" t="s">
        <v>1961</v>
      </c>
      <c r="G68" s="593"/>
      <c r="H68" s="431"/>
      <c r="I68" s="431"/>
      <c r="J68" s="431"/>
      <c r="K68" s="431"/>
      <c r="L68" s="431" t="s">
        <v>1608</v>
      </c>
      <c r="M68" s="338" t="b">
        <v>1</v>
      </c>
      <c r="N68" s="27" t="s">
        <v>58</v>
      </c>
      <c r="O68" s="37">
        <v>1.0</v>
      </c>
      <c r="P68" s="470">
        <v>144.0</v>
      </c>
      <c r="Q68" s="470"/>
      <c r="R68" s="232" t="s">
        <v>1636</v>
      </c>
      <c r="S68" s="232" t="s">
        <v>1636</v>
      </c>
      <c r="T68" s="210"/>
    </row>
    <row r="69">
      <c r="B69" s="557">
        <v>10.0</v>
      </c>
      <c r="C69" s="557" t="s">
        <v>1962</v>
      </c>
      <c r="D69" s="562"/>
      <c r="E69" s="557" t="s">
        <v>1963</v>
      </c>
      <c r="F69" s="562"/>
      <c r="G69" s="562"/>
      <c r="H69" s="431"/>
      <c r="I69" s="431"/>
      <c r="J69" s="431"/>
      <c r="K69" s="431"/>
      <c r="L69" s="431" t="s">
        <v>1613</v>
      </c>
      <c r="M69" s="338" t="b">
        <v>1</v>
      </c>
      <c r="N69" s="27" t="s">
        <v>71</v>
      </c>
      <c r="O69" s="37">
        <v>1.0</v>
      </c>
      <c r="P69" s="413">
        <v>50.0</v>
      </c>
      <c r="Q69" s="413"/>
      <c r="R69" s="232" t="s">
        <v>1609</v>
      </c>
      <c r="S69" s="232" t="s">
        <v>1622</v>
      </c>
      <c r="T69" s="594"/>
    </row>
    <row r="70">
      <c r="B70" s="557">
        <v>11.0</v>
      </c>
      <c r="C70" s="557" t="s">
        <v>1964</v>
      </c>
      <c r="F70" s="562"/>
      <c r="G70" s="562"/>
      <c r="H70" s="431"/>
      <c r="I70" s="431"/>
      <c r="J70" s="431"/>
      <c r="K70" s="431"/>
      <c r="L70" s="431"/>
      <c r="M70" s="338" t="b">
        <v>0</v>
      </c>
      <c r="N70" s="27"/>
      <c r="O70" s="37"/>
      <c r="P70" s="413"/>
      <c r="Q70" s="413"/>
      <c r="R70" s="232"/>
      <c r="S70" s="232"/>
      <c r="T70" s="594"/>
    </row>
    <row r="71">
      <c r="B71" s="557">
        <v>12.0</v>
      </c>
      <c r="C71" s="586" t="s">
        <v>1965</v>
      </c>
      <c r="D71" s="586" t="s">
        <v>1820</v>
      </c>
      <c r="E71" s="586" t="s">
        <v>1966</v>
      </c>
      <c r="F71" s="562"/>
      <c r="G71" s="562"/>
      <c r="H71" s="431"/>
      <c r="I71" s="431"/>
      <c r="J71" s="431"/>
      <c r="K71" s="431"/>
      <c r="L71" s="431">
        <v>1.304045E7</v>
      </c>
      <c r="M71" s="338" t="b">
        <v>1</v>
      </c>
      <c r="N71" s="27" t="s">
        <v>96</v>
      </c>
      <c r="O71" s="37">
        <v>2.0</v>
      </c>
      <c r="P71" s="413">
        <v>24.0</v>
      </c>
      <c r="Q71" s="413"/>
      <c r="R71" s="232" t="s">
        <v>1609</v>
      </c>
      <c r="S71" s="232" t="s">
        <v>1622</v>
      </c>
      <c r="T71" s="594" t="s">
        <v>1615</v>
      </c>
    </row>
    <row r="72">
      <c r="A72" s="126"/>
      <c r="B72" s="126"/>
      <c r="C72" s="126"/>
      <c r="D72" s="126"/>
      <c r="E72" s="126"/>
      <c r="F72" s="126"/>
      <c r="G72" s="126"/>
      <c r="H72" s="242"/>
      <c r="I72" s="242"/>
      <c r="J72" s="242"/>
      <c r="K72" s="242"/>
      <c r="L72" s="242"/>
      <c r="M72" s="242"/>
      <c r="N72" s="242" t="s">
        <v>101</v>
      </c>
      <c r="O72" s="165">
        <f t="shared" ref="O72:Q72" si="7">sum(O68:O71)</f>
        <v>4</v>
      </c>
      <c r="P72" s="165">
        <f t="shared" si="7"/>
        <v>218</v>
      </c>
      <c r="Q72" s="165">
        <f t="shared" si="7"/>
        <v>0</v>
      </c>
      <c r="R72" s="126"/>
      <c r="S72" s="210"/>
      <c r="T72" s="210"/>
    </row>
    <row r="73">
      <c r="A73" s="166"/>
      <c r="B73" s="166"/>
      <c r="C73" s="166"/>
      <c r="D73" s="166"/>
      <c r="E73" s="166"/>
      <c r="F73" s="166"/>
      <c r="G73" s="166"/>
      <c r="H73" s="276"/>
      <c r="I73" s="276"/>
      <c r="J73" s="276"/>
      <c r="K73" s="276"/>
      <c r="L73" s="276"/>
      <c r="M73" s="276"/>
      <c r="N73" s="276"/>
      <c r="O73" s="166"/>
      <c r="P73" s="278"/>
      <c r="Q73" s="278"/>
      <c r="R73" s="166"/>
      <c r="S73" s="433"/>
      <c r="T73" s="433"/>
    </row>
    <row r="74">
      <c r="A74" s="152"/>
      <c r="B74" s="152"/>
      <c r="C74" s="152" t="s">
        <v>1645</v>
      </c>
      <c r="T74" s="591"/>
    </row>
    <row r="75">
      <c r="A75" s="101"/>
      <c r="B75" s="101"/>
      <c r="C75" s="101" t="s">
        <v>45</v>
      </c>
      <c r="T75" s="206"/>
    </row>
    <row r="76">
      <c r="A76" s="28"/>
      <c r="B76" s="28"/>
      <c r="C76" s="28" t="s">
        <v>41</v>
      </c>
      <c r="D76" s="28"/>
      <c r="E76" s="28"/>
      <c r="F76" s="28"/>
      <c r="G76" s="28"/>
      <c r="H76" s="28"/>
      <c r="I76" s="28"/>
      <c r="J76" s="28"/>
      <c r="K76" s="28"/>
      <c r="L76" s="28" t="s">
        <v>42</v>
      </c>
      <c r="M76" s="29" t="s">
        <v>43</v>
      </c>
      <c r="N76" s="28" t="s">
        <v>46</v>
      </c>
      <c r="O76" s="29" t="s">
        <v>47</v>
      </c>
      <c r="P76" s="29" t="s">
        <v>48</v>
      </c>
      <c r="Q76" s="29" t="s">
        <v>49</v>
      </c>
      <c r="R76" s="29" t="s">
        <v>50</v>
      </c>
      <c r="S76" s="29" t="s">
        <v>51</v>
      </c>
      <c r="T76" s="157" t="s">
        <v>1967</v>
      </c>
    </row>
    <row r="77">
      <c r="A77" s="562"/>
      <c r="B77" s="557">
        <v>9.0</v>
      </c>
      <c r="C77" s="562" t="s">
        <v>55</v>
      </c>
      <c r="D77" s="562"/>
      <c r="E77" s="562"/>
      <c r="F77" s="562"/>
      <c r="G77" s="562"/>
      <c r="H77" s="431"/>
      <c r="I77" s="431"/>
      <c r="J77" s="431"/>
      <c r="K77" s="431"/>
      <c r="L77" s="431">
        <v>1.303955E7</v>
      </c>
      <c r="M77" s="338" t="b">
        <v>1</v>
      </c>
      <c r="N77" s="27" t="s">
        <v>71</v>
      </c>
      <c r="O77" s="37">
        <v>1.0</v>
      </c>
      <c r="P77" s="470">
        <v>120.0</v>
      </c>
      <c r="Q77" s="470"/>
      <c r="R77" s="232" t="s">
        <v>1636</v>
      </c>
      <c r="S77" s="232" t="s">
        <v>1636</v>
      </c>
      <c r="T77" s="488" t="s">
        <v>1656</v>
      </c>
    </row>
    <row r="78">
      <c r="A78" s="557"/>
      <c r="B78" s="557">
        <v>10.0</v>
      </c>
      <c r="C78" s="557" t="s">
        <v>1968</v>
      </c>
      <c r="D78" s="557"/>
      <c r="E78" s="557"/>
      <c r="F78" s="557"/>
      <c r="G78" s="557"/>
      <c r="H78" s="431"/>
      <c r="I78" s="431"/>
      <c r="J78" s="431"/>
      <c r="K78" s="431"/>
      <c r="L78" s="431">
        <v>1.30396E7</v>
      </c>
      <c r="M78" s="338" t="b">
        <v>1</v>
      </c>
      <c r="N78" s="27" t="s">
        <v>82</v>
      </c>
      <c r="O78" s="37">
        <v>2.0</v>
      </c>
      <c r="P78" s="470" t="s">
        <v>1969</v>
      </c>
      <c r="Q78" s="470"/>
      <c r="R78" s="232" t="s">
        <v>1970</v>
      </c>
      <c r="S78" s="232" t="s">
        <v>1971</v>
      </c>
      <c r="T78" s="42" t="s">
        <v>1972</v>
      </c>
    </row>
    <row r="79">
      <c r="A79" s="557"/>
      <c r="B79" s="557">
        <v>11.0</v>
      </c>
      <c r="C79" s="557" t="s">
        <v>1973</v>
      </c>
      <c r="D79" s="557"/>
      <c r="E79" s="557"/>
      <c r="F79" s="557"/>
      <c r="G79" s="557"/>
      <c r="H79" s="431"/>
      <c r="I79" s="431"/>
      <c r="J79" s="431"/>
      <c r="K79" s="431"/>
      <c r="L79" s="431">
        <v>1.30397E7</v>
      </c>
      <c r="M79" s="338" t="b">
        <v>1</v>
      </c>
      <c r="N79" s="27" t="s">
        <v>96</v>
      </c>
      <c r="O79" s="37">
        <v>2.0</v>
      </c>
      <c r="P79" s="470">
        <v>0.0</v>
      </c>
      <c r="Q79" s="470"/>
      <c r="R79" s="232" t="s">
        <v>1636</v>
      </c>
      <c r="S79" s="232" t="s">
        <v>1636</v>
      </c>
      <c r="T79" s="488" t="s">
        <v>1974</v>
      </c>
    </row>
    <row r="80">
      <c r="A80" s="557"/>
      <c r="B80" s="557">
        <v>12.0</v>
      </c>
      <c r="C80" s="557" t="s">
        <v>975</v>
      </c>
      <c r="D80" s="557"/>
      <c r="E80" s="557"/>
      <c r="F80" s="557"/>
      <c r="G80" s="557"/>
      <c r="H80" s="431"/>
      <c r="I80" s="431"/>
      <c r="J80" s="431"/>
      <c r="K80" s="431"/>
      <c r="L80" s="431">
        <v>1.304045E7</v>
      </c>
      <c r="M80" s="338" t="b">
        <v>1</v>
      </c>
      <c r="N80" s="27" t="s">
        <v>96</v>
      </c>
      <c r="O80" s="37">
        <v>2.0</v>
      </c>
      <c r="P80" s="470">
        <v>0.0</v>
      </c>
      <c r="Q80" s="470"/>
      <c r="R80" s="232" t="s">
        <v>1636</v>
      </c>
      <c r="S80" s="232" t="s">
        <v>1636</v>
      </c>
      <c r="T80" s="488" t="s">
        <v>1974</v>
      </c>
    </row>
    <row r="81">
      <c r="A81" s="126"/>
      <c r="B81" s="126"/>
      <c r="C81" s="126"/>
      <c r="D81" s="126"/>
      <c r="E81" s="126"/>
      <c r="F81" s="126"/>
      <c r="G81" s="126"/>
      <c r="H81" s="242"/>
      <c r="I81" s="242"/>
      <c r="J81" s="242"/>
      <c r="K81" s="242"/>
      <c r="L81" s="242"/>
      <c r="M81" s="242"/>
      <c r="N81" s="242" t="s">
        <v>101</v>
      </c>
      <c r="O81" s="165">
        <f t="shared" ref="O81:Q81" si="8">sum(O77:O80)</f>
        <v>7</v>
      </c>
      <c r="P81" s="165">
        <f t="shared" si="8"/>
        <v>120</v>
      </c>
      <c r="Q81" s="165">
        <f t="shared" si="8"/>
        <v>0</v>
      </c>
      <c r="R81" s="126"/>
      <c r="S81" s="210"/>
      <c r="T81" s="210"/>
    </row>
    <row r="82">
      <c r="A82" s="166"/>
      <c r="B82" s="166"/>
      <c r="C82" s="166"/>
      <c r="D82" s="166"/>
      <c r="E82" s="166"/>
      <c r="F82" s="166"/>
      <c r="G82" s="166"/>
      <c r="H82" s="276"/>
      <c r="I82" s="276"/>
      <c r="J82" s="276"/>
      <c r="K82" s="276"/>
      <c r="L82" s="276"/>
      <c r="M82" s="276"/>
      <c r="N82" s="276"/>
      <c r="O82" s="166"/>
      <c r="P82" s="278"/>
      <c r="Q82" s="278"/>
      <c r="R82" s="166"/>
      <c r="S82" s="433"/>
      <c r="T82" s="433"/>
    </row>
    <row r="83">
      <c r="A83" s="152"/>
      <c r="B83" s="152"/>
      <c r="C83" s="152" t="s">
        <v>1704</v>
      </c>
      <c r="T83" s="591"/>
    </row>
    <row r="84">
      <c r="A84" s="101"/>
      <c r="B84" s="101"/>
      <c r="C84" s="101" t="s">
        <v>1975</v>
      </c>
      <c r="T84" s="206"/>
    </row>
    <row r="85">
      <c r="A85" s="28"/>
      <c r="B85" s="28"/>
      <c r="C85" s="28" t="s">
        <v>41</v>
      </c>
      <c r="D85" s="28"/>
      <c r="E85" s="28"/>
      <c r="F85" s="28"/>
      <c r="G85" s="28"/>
      <c r="H85" s="28"/>
      <c r="I85" s="28"/>
      <c r="J85" s="28"/>
      <c r="K85" s="28"/>
      <c r="L85" s="28" t="s">
        <v>42</v>
      </c>
      <c r="M85" s="29" t="s">
        <v>43</v>
      </c>
      <c r="N85" s="28" t="s">
        <v>46</v>
      </c>
      <c r="O85" s="29" t="s">
        <v>47</v>
      </c>
      <c r="P85" s="29" t="s">
        <v>48</v>
      </c>
      <c r="Q85" s="29" t="s">
        <v>49</v>
      </c>
      <c r="R85" s="29" t="s">
        <v>50</v>
      </c>
      <c r="S85" s="29" t="s">
        <v>51</v>
      </c>
      <c r="T85" s="157" t="s">
        <v>1976</v>
      </c>
    </row>
    <row r="86">
      <c r="A86" s="562"/>
      <c r="B86" s="595"/>
      <c r="C86" s="596" t="s">
        <v>1977</v>
      </c>
      <c r="D86" s="562"/>
      <c r="E86" s="597" t="s">
        <v>1978</v>
      </c>
      <c r="F86" s="557"/>
      <c r="G86" s="411" t="s">
        <v>1979</v>
      </c>
      <c r="H86" s="431"/>
      <c r="I86" s="431"/>
      <c r="J86" s="431"/>
      <c r="K86" s="431"/>
      <c r="L86" s="431"/>
      <c r="M86" s="338" t="b">
        <v>0</v>
      </c>
      <c r="N86" s="27"/>
      <c r="O86" s="37"/>
      <c r="P86" s="470"/>
      <c r="Q86" s="470"/>
      <c r="R86" s="232"/>
      <c r="S86" s="232"/>
      <c r="T86" s="303"/>
    </row>
    <row r="87">
      <c r="A87" s="562"/>
      <c r="B87" s="595">
        <v>9.0</v>
      </c>
      <c r="C87" s="598" t="s">
        <v>1678</v>
      </c>
      <c r="D87" s="595">
        <v>9.0</v>
      </c>
      <c r="E87" s="597" t="s">
        <v>1980</v>
      </c>
      <c r="F87" s="595">
        <v>9.0</v>
      </c>
      <c r="G87" s="416" t="s">
        <v>1678</v>
      </c>
      <c r="H87" s="431"/>
      <c r="I87" s="431"/>
      <c r="J87" s="431"/>
      <c r="K87" s="431"/>
      <c r="L87" s="431">
        <v>1.30322E7</v>
      </c>
      <c r="M87" s="338" t="b">
        <v>1</v>
      </c>
      <c r="N87" s="27" t="s">
        <v>58</v>
      </c>
      <c r="O87" s="37">
        <v>1.0</v>
      </c>
      <c r="P87" s="470">
        <v>72.0</v>
      </c>
      <c r="Q87" s="470"/>
      <c r="R87" s="232" t="s">
        <v>1683</v>
      </c>
      <c r="S87" s="232" t="s">
        <v>1981</v>
      </c>
      <c r="T87" s="303" t="s">
        <v>1982</v>
      </c>
    </row>
    <row r="88">
      <c r="A88" s="557"/>
      <c r="B88" s="595">
        <v>10.0</v>
      </c>
      <c r="C88" s="596" t="s">
        <v>1983</v>
      </c>
      <c r="D88" s="595">
        <v>10.0</v>
      </c>
      <c r="E88" s="597" t="s">
        <v>1984</v>
      </c>
      <c r="F88" s="595">
        <v>10.0</v>
      </c>
      <c r="G88" s="411" t="s">
        <v>1985</v>
      </c>
      <c r="H88" s="431"/>
      <c r="I88" s="431"/>
      <c r="J88" s="431"/>
      <c r="K88" s="431"/>
      <c r="L88" s="431">
        <v>1.30329E7</v>
      </c>
      <c r="M88" s="338" t="b">
        <v>1</v>
      </c>
      <c r="N88" s="27" t="s">
        <v>71</v>
      </c>
      <c r="O88" s="37">
        <v>1.0</v>
      </c>
      <c r="P88" s="470">
        <v>48.0</v>
      </c>
      <c r="Q88" s="470"/>
      <c r="R88" s="232" t="s">
        <v>1986</v>
      </c>
      <c r="S88" s="232" t="s">
        <v>1981</v>
      </c>
      <c r="T88" s="303" t="s">
        <v>1987</v>
      </c>
    </row>
    <row r="89">
      <c r="A89" s="480"/>
      <c r="B89" s="599">
        <v>10.0</v>
      </c>
      <c r="C89" s="600" t="s">
        <v>1985</v>
      </c>
      <c r="D89" s="599">
        <v>11.0</v>
      </c>
      <c r="E89" s="601" t="s">
        <v>1988</v>
      </c>
      <c r="F89" s="599">
        <v>11.0</v>
      </c>
      <c r="G89" s="411" t="s">
        <v>1989</v>
      </c>
      <c r="H89" s="377"/>
      <c r="I89" s="377"/>
      <c r="J89" s="377"/>
      <c r="K89" s="377"/>
      <c r="L89" s="377">
        <v>1.3037E7</v>
      </c>
      <c r="M89" s="455" t="b">
        <v>1</v>
      </c>
      <c r="N89" s="27" t="s">
        <v>71</v>
      </c>
      <c r="O89" s="37">
        <v>1.0</v>
      </c>
      <c r="P89" s="599">
        <v>48.0</v>
      </c>
      <c r="Q89" s="377"/>
      <c r="R89" s="232" t="s">
        <v>1683</v>
      </c>
      <c r="S89" s="232" t="s">
        <v>1981</v>
      </c>
      <c r="T89" s="303" t="s">
        <v>1990</v>
      </c>
    </row>
    <row r="90">
      <c r="A90" s="557"/>
      <c r="B90" s="595">
        <v>11.0</v>
      </c>
      <c r="C90" s="602" t="s">
        <v>1991</v>
      </c>
      <c r="D90" s="595">
        <v>12.0</v>
      </c>
      <c r="E90" s="597" t="s">
        <v>1992</v>
      </c>
      <c r="F90" s="595">
        <v>12.0</v>
      </c>
      <c r="G90" s="416" t="s">
        <v>1886</v>
      </c>
      <c r="H90" s="431"/>
      <c r="I90" s="431"/>
      <c r="J90" s="431"/>
      <c r="K90" s="431"/>
      <c r="L90" s="431">
        <v>1.303295E7</v>
      </c>
      <c r="M90" s="338" t="b">
        <v>1</v>
      </c>
      <c r="N90" s="27" t="s">
        <v>82</v>
      </c>
      <c r="O90" s="37">
        <v>1.0</v>
      </c>
      <c r="P90" s="470">
        <v>60.0</v>
      </c>
      <c r="Q90" s="470"/>
      <c r="R90" s="232" t="s">
        <v>1986</v>
      </c>
      <c r="S90" s="232" t="s">
        <v>1981</v>
      </c>
      <c r="T90" s="303" t="s">
        <v>1993</v>
      </c>
    </row>
    <row r="91">
      <c r="A91" s="603"/>
      <c r="B91" s="604">
        <v>11.0</v>
      </c>
      <c r="C91" s="605" t="s">
        <v>1989</v>
      </c>
      <c r="D91" s="603"/>
      <c r="E91" s="606"/>
      <c r="F91" s="604"/>
      <c r="G91" s="429"/>
      <c r="H91" s="377"/>
      <c r="I91" s="377"/>
      <c r="J91" s="377"/>
      <c r="K91" s="377"/>
      <c r="L91" s="377">
        <v>1.303705E7</v>
      </c>
      <c r="M91" s="455" t="b">
        <v>1</v>
      </c>
      <c r="N91" s="27" t="s">
        <v>82</v>
      </c>
      <c r="O91" s="37">
        <v>1.0</v>
      </c>
      <c r="P91" s="470">
        <v>0.0</v>
      </c>
      <c r="Q91" s="470"/>
      <c r="R91" s="232"/>
      <c r="S91" s="232"/>
      <c r="T91" s="303" t="s">
        <v>1994</v>
      </c>
    </row>
    <row r="92">
      <c r="A92" s="562"/>
      <c r="B92" s="595">
        <v>12.0</v>
      </c>
      <c r="C92" s="607" t="s">
        <v>1886</v>
      </c>
      <c r="D92" s="562"/>
      <c r="E92" s="608"/>
      <c r="F92" s="562"/>
      <c r="G92" s="416"/>
      <c r="H92" s="431"/>
      <c r="I92" s="431"/>
      <c r="J92" s="431"/>
      <c r="K92" s="431"/>
      <c r="L92" s="431">
        <v>1.3033E7</v>
      </c>
      <c r="M92" s="338" t="b">
        <v>1</v>
      </c>
      <c r="N92" s="27" t="s">
        <v>96</v>
      </c>
      <c r="O92" s="37">
        <v>2.0</v>
      </c>
      <c r="P92" s="470">
        <v>24.0</v>
      </c>
      <c r="Q92" s="470"/>
      <c r="R92" s="232" t="s">
        <v>1986</v>
      </c>
      <c r="S92" s="232" t="s">
        <v>1981</v>
      </c>
      <c r="T92" s="303" t="s">
        <v>1995</v>
      </c>
    </row>
    <row r="93">
      <c r="A93" s="126"/>
      <c r="B93" s="126"/>
      <c r="C93" s="126"/>
      <c r="D93" s="126"/>
      <c r="E93" s="126"/>
      <c r="F93" s="126"/>
      <c r="G93" s="126"/>
      <c r="H93" s="242"/>
      <c r="I93" s="242"/>
      <c r="J93" s="242"/>
      <c r="K93" s="242"/>
      <c r="L93" s="242"/>
      <c r="M93" s="242"/>
      <c r="N93" s="242" t="s">
        <v>101</v>
      </c>
      <c r="O93" s="165">
        <f t="shared" ref="O93:Q93" si="9">sum(O87:O92)</f>
        <v>7</v>
      </c>
      <c r="P93" s="165">
        <f t="shared" si="9"/>
        <v>252</v>
      </c>
      <c r="Q93" s="165">
        <f t="shared" si="9"/>
        <v>0</v>
      </c>
      <c r="R93" s="126"/>
      <c r="S93" s="210"/>
      <c r="T93" s="210"/>
    </row>
    <row r="94">
      <c r="A94" s="166"/>
      <c r="B94" s="166"/>
      <c r="C94" s="166"/>
      <c r="D94" s="166"/>
      <c r="E94" s="166"/>
      <c r="F94" s="166"/>
      <c r="G94" s="166"/>
      <c r="H94" s="276"/>
      <c r="I94" s="276"/>
      <c r="J94" s="276"/>
      <c r="K94" s="276"/>
      <c r="L94" s="276"/>
      <c r="M94" s="276"/>
      <c r="N94" s="276"/>
      <c r="O94" s="166"/>
      <c r="P94" s="278"/>
      <c r="Q94" s="278"/>
      <c r="R94" s="166"/>
      <c r="S94" s="433"/>
      <c r="T94" s="433"/>
    </row>
    <row r="95">
      <c r="A95" s="152"/>
      <c r="B95" s="152"/>
      <c r="C95" s="152" t="s">
        <v>1766</v>
      </c>
      <c r="T95" s="591"/>
    </row>
    <row r="96">
      <c r="A96" s="101"/>
      <c r="B96" s="101"/>
      <c r="C96" s="101" t="s">
        <v>1719</v>
      </c>
      <c r="T96" s="206"/>
    </row>
    <row r="97">
      <c r="A97" s="28"/>
      <c r="B97" s="28"/>
      <c r="C97" s="28" t="s">
        <v>41</v>
      </c>
      <c r="D97" s="28"/>
      <c r="E97" s="28"/>
      <c r="F97" s="28"/>
      <c r="G97" s="28"/>
      <c r="H97" s="28"/>
      <c r="I97" s="28"/>
      <c r="J97" s="28"/>
      <c r="K97" s="28"/>
      <c r="L97" s="28" t="s">
        <v>42</v>
      </c>
      <c r="M97" s="29" t="s">
        <v>43</v>
      </c>
      <c r="N97" s="28" t="s">
        <v>46</v>
      </c>
      <c r="O97" s="29" t="s">
        <v>47</v>
      </c>
      <c r="P97" s="29" t="s">
        <v>48</v>
      </c>
      <c r="Q97" s="29" t="s">
        <v>49</v>
      </c>
      <c r="R97" s="29" t="s">
        <v>50</v>
      </c>
      <c r="S97" s="29" t="s">
        <v>51</v>
      </c>
      <c r="T97" s="157" t="s">
        <v>1996</v>
      </c>
    </row>
    <row r="98">
      <c r="A98" s="562"/>
      <c r="B98" s="557">
        <v>9.0</v>
      </c>
      <c r="C98" s="562" t="s">
        <v>1725</v>
      </c>
      <c r="D98" s="562"/>
      <c r="E98" s="562"/>
      <c r="F98" s="562"/>
      <c r="G98" s="562"/>
      <c r="H98" s="510"/>
      <c r="I98" s="510"/>
      <c r="J98" s="510"/>
      <c r="K98" s="510"/>
      <c r="L98" s="510">
        <v>1.303225E7</v>
      </c>
      <c r="M98" s="338" t="b">
        <v>1</v>
      </c>
      <c r="N98" s="27" t="s">
        <v>58</v>
      </c>
      <c r="O98" s="37">
        <v>1.0</v>
      </c>
      <c r="P98" s="470">
        <v>45.0</v>
      </c>
      <c r="Q98" s="470"/>
      <c r="R98" s="232" t="s">
        <v>1997</v>
      </c>
      <c r="S98" s="232" t="s">
        <v>1732</v>
      </c>
      <c r="T98" s="67" t="s">
        <v>1486</v>
      </c>
    </row>
    <row r="99">
      <c r="A99" s="562"/>
      <c r="B99" s="557">
        <v>10.0</v>
      </c>
      <c r="C99" s="562" t="s">
        <v>1733</v>
      </c>
      <c r="D99" s="562"/>
      <c r="E99" s="562"/>
      <c r="F99" s="562"/>
      <c r="G99" s="562"/>
      <c r="H99" s="510"/>
      <c r="I99" s="510"/>
      <c r="J99" s="510"/>
      <c r="K99" s="510"/>
      <c r="L99" s="510">
        <v>1.30323E7</v>
      </c>
      <c r="M99" s="338" t="b">
        <v>1</v>
      </c>
      <c r="N99" s="27" t="s">
        <v>71</v>
      </c>
      <c r="O99" s="37">
        <v>2.0</v>
      </c>
      <c r="P99" s="470">
        <v>30.0</v>
      </c>
      <c r="Q99" s="470"/>
      <c r="R99" s="232" t="s">
        <v>1997</v>
      </c>
      <c r="S99" s="232" t="s">
        <v>1732</v>
      </c>
      <c r="T99" s="303" t="s">
        <v>1998</v>
      </c>
    </row>
    <row r="100">
      <c r="A100" s="557"/>
      <c r="B100" s="557">
        <v>11.0</v>
      </c>
      <c r="C100" s="557" t="s">
        <v>1888</v>
      </c>
      <c r="D100" s="557"/>
      <c r="E100" s="557"/>
      <c r="F100" s="557"/>
      <c r="G100" s="557"/>
      <c r="H100" s="510"/>
      <c r="I100" s="510"/>
      <c r="J100" s="510"/>
      <c r="K100" s="510"/>
      <c r="L100" s="510">
        <v>1.30324E7</v>
      </c>
      <c r="M100" s="338" t="b">
        <v>1</v>
      </c>
      <c r="N100" s="27" t="s">
        <v>82</v>
      </c>
      <c r="O100" s="37">
        <v>2.0</v>
      </c>
      <c r="P100" s="470">
        <v>0.0</v>
      </c>
      <c r="Q100" s="470"/>
      <c r="R100" s="232" t="s">
        <v>1636</v>
      </c>
      <c r="S100" s="232" t="s">
        <v>1636</v>
      </c>
      <c r="T100" s="303" t="s">
        <v>1743</v>
      </c>
    </row>
    <row r="101">
      <c r="A101" s="562"/>
      <c r="B101" s="557">
        <v>12.0</v>
      </c>
      <c r="C101" s="562" t="s">
        <v>1745</v>
      </c>
      <c r="D101" s="562"/>
      <c r="E101" s="562"/>
      <c r="F101" s="562"/>
      <c r="G101" s="562"/>
      <c r="H101" s="510"/>
      <c r="I101" s="510"/>
      <c r="J101" s="510"/>
      <c r="K101" s="510"/>
      <c r="L101" s="510">
        <v>1.3033E7</v>
      </c>
      <c r="M101" s="338" t="b">
        <v>1</v>
      </c>
      <c r="N101" s="27" t="s">
        <v>96</v>
      </c>
      <c r="O101" s="37">
        <v>2.0</v>
      </c>
      <c r="P101" s="470">
        <v>0.0</v>
      </c>
      <c r="Q101" s="470"/>
      <c r="R101" s="232" t="s">
        <v>1636</v>
      </c>
      <c r="S101" s="232" t="s">
        <v>1636</v>
      </c>
      <c r="T101" s="303" t="s">
        <v>1749</v>
      </c>
    </row>
    <row r="102">
      <c r="A102" s="126"/>
      <c r="B102" s="126"/>
      <c r="C102" s="126"/>
      <c r="D102" s="126"/>
      <c r="E102" s="126"/>
      <c r="F102" s="126"/>
      <c r="G102" s="126"/>
      <c r="H102" s="242"/>
      <c r="I102" s="242"/>
      <c r="J102" s="242"/>
      <c r="K102" s="242"/>
      <c r="L102" s="242"/>
      <c r="M102" s="242"/>
      <c r="N102" s="242" t="s">
        <v>101</v>
      </c>
      <c r="O102" s="165">
        <f t="shared" ref="O102:Q102" si="10">sum(O98:O101)</f>
        <v>7</v>
      </c>
      <c r="P102" s="165">
        <f t="shared" si="10"/>
        <v>75</v>
      </c>
      <c r="Q102" s="165">
        <f t="shared" si="10"/>
        <v>0</v>
      </c>
      <c r="R102" s="126"/>
      <c r="S102" s="210"/>
      <c r="T102" s="210"/>
    </row>
    <row r="103">
      <c r="A103" s="166"/>
      <c r="B103" s="166"/>
      <c r="C103" s="166"/>
      <c r="D103" s="166"/>
      <c r="E103" s="166"/>
      <c r="F103" s="166"/>
      <c r="G103" s="166"/>
      <c r="H103" s="276"/>
      <c r="I103" s="276"/>
      <c r="J103" s="276"/>
      <c r="K103" s="276"/>
      <c r="L103" s="276"/>
      <c r="M103" s="276"/>
      <c r="N103" s="276"/>
      <c r="O103" s="166"/>
      <c r="P103" s="278"/>
      <c r="Q103" s="278"/>
      <c r="R103" s="166"/>
      <c r="S103" s="433"/>
      <c r="T103" s="433"/>
    </row>
    <row r="104">
      <c r="A104" s="152"/>
      <c r="B104" s="152"/>
      <c r="C104" s="152" t="s">
        <v>1789</v>
      </c>
      <c r="T104" s="591"/>
    </row>
    <row r="105">
      <c r="A105" s="101"/>
      <c r="B105" s="101"/>
      <c r="C105" s="101" t="s">
        <v>1261</v>
      </c>
      <c r="T105" s="206"/>
    </row>
    <row r="106">
      <c r="A106" s="28"/>
      <c r="B106" s="28"/>
      <c r="C106" s="28" t="s">
        <v>1999</v>
      </c>
      <c r="D106" s="28"/>
      <c r="E106" s="28" t="s">
        <v>2000</v>
      </c>
      <c r="F106" s="28"/>
      <c r="G106" s="28" t="s">
        <v>2001</v>
      </c>
      <c r="H106" s="28"/>
      <c r="I106" s="609" t="s">
        <v>2002</v>
      </c>
      <c r="J106" s="28"/>
      <c r="K106" s="28"/>
      <c r="L106" s="28" t="s">
        <v>42</v>
      </c>
      <c r="M106" s="29" t="s">
        <v>43</v>
      </c>
      <c r="N106" s="28" t="s">
        <v>46</v>
      </c>
      <c r="O106" s="29" t="s">
        <v>47</v>
      </c>
      <c r="P106" s="29" t="s">
        <v>48</v>
      </c>
      <c r="Q106" s="29" t="s">
        <v>49</v>
      </c>
      <c r="R106" s="29" t="s">
        <v>50</v>
      </c>
      <c r="S106" s="29" t="s">
        <v>51</v>
      </c>
      <c r="T106" s="157" t="s">
        <v>2003</v>
      </c>
    </row>
    <row r="107">
      <c r="A107" s="610" t="s">
        <v>1793</v>
      </c>
      <c r="B107" s="611">
        <v>9.0</v>
      </c>
      <c r="C107" s="612" t="s">
        <v>1718</v>
      </c>
      <c r="D107" s="515">
        <v>9.0</v>
      </c>
      <c r="E107" s="613" t="s">
        <v>1264</v>
      </c>
      <c r="F107" s="515">
        <v>9.0</v>
      </c>
      <c r="G107" s="613" t="s">
        <v>1243</v>
      </c>
      <c r="H107" s="614">
        <v>9.0</v>
      </c>
      <c r="I107" s="615" t="s">
        <v>2004</v>
      </c>
      <c r="J107" s="616"/>
      <c r="K107" s="617"/>
      <c r="L107" s="431">
        <v>3580850.0</v>
      </c>
      <c r="M107" s="338" t="b">
        <v>1</v>
      </c>
      <c r="N107" s="27" t="s">
        <v>58</v>
      </c>
      <c r="O107" s="37">
        <v>1.0</v>
      </c>
      <c r="P107" s="470">
        <v>72.0</v>
      </c>
      <c r="Q107" s="470"/>
      <c r="R107" s="238" t="s">
        <v>1756</v>
      </c>
      <c r="S107" s="238" t="s">
        <v>1564</v>
      </c>
      <c r="T107" s="618" t="s">
        <v>1728</v>
      </c>
    </row>
    <row r="108">
      <c r="A108" s="610" t="s">
        <v>1793</v>
      </c>
      <c r="B108" s="611">
        <v>9.0</v>
      </c>
      <c r="C108" s="612" t="s">
        <v>1243</v>
      </c>
      <c r="D108" s="515">
        <v>9.0</v>
      </c>
      <c r="E108" s="613" t="s">
        <v>1629</v>
      </c>
      <c r="F108" s="515">
        <v>9.0</v>
      </c>
      <c r="G108" s="613" t="s">
        <v>1629</v>
      </c>
      <c r="H108" s="619">
        <v>9.0</v>
      </c>
      <c r="I108" s="620" t="s">
        <v>2005</v>
      </c>
      <c r="J108" s="616"/>
      <c r="K108" s="621"/>
      <c r="L108" s="431">
        <v>3580140.0</v>
      </c>
      <c r="M108" s="338" t="b">
        <v>1</v>
      </c>
      <c r="N108" s="27" t="s">
        <v>58</v>
      </c>
      <c r="O108" s="37">
        <v>1.0</v>
      </c>
      <c r="P108" s="470">
        <v>72.0</v>
      </c>
      <c r="Q108" s="470"/>
      <c r="R108" s="238" t="s">
        <v>1756</v>
      </c>
      <c r="S108" s="238" t="s">
        <v>1564</v>
      </c>
      <c r="T108" s="127" t="s">
        <v>1628</v>
      </c>
    </row>
    <row r="109">
      <c r="A109" s="610" t="s">
        <v>1797</v>
      </c>
      <c r="B109" s="611">
        <v>10.0</v>
      </c>
      <c r="C109" s="612" t="s">
        <v>2006</v>
      </c>
      <c r="D109" s="515">
        <v>10.0</v>
      </c>
      <c r="E109" s="613" t="s">
        <v>1644</v>
      </c>
      <c r="F109" s="622">
        <v>10.0</v>
      </c>
      <c r="G109" s="578" t="s">
        <v>2007</v>
      </c>
      <c r="H109" s="623">
        <v>10.0</v>
      </c>
      <c r="I109" s="624" t="s">
        <v>2008</v>
      </c>
      <c r="J109" s="625"/>
      <c r="K109" s="621"/>
      <c r="L109" s="106">
        <v>1.302741E7</v>
      </c>
      <c r="M109" s="338" t="b">
        <v>1</v>
      </c>
      <c r="N109" s="27" t="s">
        <v>82</v>
      </c>
      <c r="O109" s="37">
        <v>2.0</v>
      </c>
      <c r="P109" s="470">
        <v>31.0</v>
      </c>
      <c r="Q109" s="470"/>
      <c r="R109" s="238" t="s">
        <v>1759</v>
      </c>
      <c r="S109" s="238" t="s">
        <v>1393</v>
      </c>
      <c r="T109" s="618" t="s">
        <v>1647</v>
      </c>
    </row>
    <row r="110">
      <c r="A110" s="414">
        <v>10.0</v>
      </c>
      <c r="B110" s="557">
        <v>10.0</v>
      </c>
      <c r="C110" s="612" t="s">
        <v>2009</v>
      </c>
      <c r="D110" s="515">
        <v>10.0</v>
      </c>
      <c r="E110" s="613" t="s">
        <v>1634</v>
      </c>
      <c r="F110" s="626">
        <v>10.0</v>
      </c>
      <c r="G110" s="627" t="s">
        <v>1438</v>
      </c>
      <c r="H110" s="628">
        <v>10.0</v>
      </c>
      <c r="I110" s="620" t="s">
        <v>2010</v>
      </c>
      <c r="J110" s="616"/>
      <c r="K110" s="621"/>
      <c r="L110" s="431" t="s">
        <v>1734</v>
      </c>
      <c r="M110" s="338" t="b">
        <v>1</v>
      </c>
      <c r="N110" s="27" t="s">
        <v>71</v>
      </c>
      <c r="O110" s="37">
        <v>1.0</v>
      </c>
      <c r="P110" s="470">
        <v>24.0</v>
      </c>
      <c r="Q110" s="470"/>
      <c r="R110" s="238" t="s">
        <v>1759</v>
      </c>
      <c r="S110" s="238" t="s">
        <v>1393</v>
      </c>
      <c r="T110" s="303" t="s">
        <v>2011</v>
      </c>
    </row>
    <row r="111">
      <c r="A111" s="414">
        <v>11.0</v>
      </c>
      <c r="B111" s="557">
        <v>11.0</v>
      </c>
      <c r="C111" s="578" t="s">
        <v>1640</v>
      </c>
      <c r="D111" s="515">
        <v>11.0</v>
      </c>
      <c r="E111" s="613" t="s">
        <v>1640</v>
      </c>
      <c r="F111" s="368">
        <v>11.0</v>
      </c>
      <c r="G111" s="612" t="s">
        <v>2012</v>
      </c>
      <c r="H111" s="629">
        <v>11.0</v>
      </c>
      <c r="I111" s="620" t="s">
        <v>2013</v>
      </c>
      <c r="J111" s="630"/>
      <c r="K111" s="631"/>
      <c r="L111" s="431">
        <v>3580200.0</v>
      </c>
      <c r="M111" s="338" t="b">
        <v>1</v>
      </c>
      <c r="N111" s="27" t="s">
        <v>71</v>
      </c>
      <c r="O111" s="37">
        <v>1.0</v>
      </c>
      <c r="P111" s="470">
        <v>48.0</v>
      </c>
      <c r="Q111" s="470"/>
      <c r="R111" s="238" t="s">
        <v>1782</v>
      </c>
      <c r="S111" s="238" t="s">
        <v>1783</v>
      </c>
      <c r="T111" s="303" t="s">
        <v>2014</v>
      </c>
    </row>
    <row r="112">
      <c r="A112" s="414">
        <v>11.0</v>
      </c>
      <c r="B112" s="557">
        <v>11.0</v>
      </c>
      <c r="C112" s="578" t="s">
        <v>2015</v>
      </c>
      <c r="D112" s="515">
        <v>11.0</v>
      </c>
      <c r="E112" s="613" t="s">
        <v>2015</v>
      </c>
      <c r="F112" s="368">
        <v>11.0</v>
      </c>
      <c r="G112" s="612" t="s">
        <v>2012</v>
      </c>
      <c r="H112" s="629">
        <v>11.0</v>
      </c>
      <c r="I112" s="620" t="s">
        <v>2016</v>
      </c>
      <c r="J112" s="632"/>
      <c r="K112" s="631"/>
      <c r="L112" s="431">
        <v>3580360.0</v>
      </c>
      <c r="M112" s="338" t="b">
        <v>1</v>
      </c>
      <c r="N112" s="27" t="s">
        <v>82</v>
      </c>
      <c r="O112" s="37">
        <v>1.0</v>
      </c>
      <c r="P112" s="470">
        <v>0.0</v>
      </c>
      <c r="Q112" s="470"/>
      <c r="R112" s="238" t="s">
        <v>1636</v>
      </c>
      <c r="S112" s="238" t="s">
        <v>1636</v>
      </c>
      <c r="T112" s="303" t="s">
        <v>2017</v>
      </c>
    </row>
    <row r="113">
      <c r="A113" s="414">
        <v>12.0</v>
      </c>
      <c r="B113" s="557">
        <v>12.0</v>
      </c>
      <c r="C113" s="627" t="s">
        <v>2018</v>
      </c>
      <c r="D113" s="622">
        <v>12.0</v>
      </c>
      <c r="E113" s="613"/>
      <c r="F113" s="515">
        <v>12.0</v>
      </c>
      <c r="G113" s="613" t="s">
        <v>2015</v>
      </c>
      <c r="H113" s="619">
        <v>12.0</v>
      </c>
      <c r="I113" s="620" t="s">
        <v>2019</v>
      </c>
      <c r="J113" s="616"/>
      <c r="K113" s="621"/>
      <c r="L113" s="431">
        <v>3580855.0</v>
      </c>
      <c r="M113" s="338" t="b">
        <v>1</v>
      </c>
      <c r="N113" s="27" t="s">
        <v>96</v>
      </c>
      <c r="O113" s="37">
        <v>1.0</v>
      </c>
      <c r="P113" s="470">
        <v>0.0</v>
      </c>
      <c r="Q113" s="470"/>
      <c r="R113" s="238" t="s">
        <v>1759</v>
      </c>
      <c r="S113" s="238" t="s">
        <v>1393</v>
      </c>
      <c r="T113" s="633" t="s">
        <v>2020</v>
      </c>
    </row>
    <row r="114">
      <c r="A114" s="414">
        <v>12.0</v>
      </c>
      <c r="B114" s="557">
        <v>12.0</v>
      </c>
      <c r="D114" s="622">
        <v>12.0</v>
      </c>
      <c r="E114" s="613" t="s">
        <v>1648</v>
      </c>
      <c r="F114" s="515">
        <v>12.0</v>
      </c>
      <c r="G114" s="613" t="s">
        <v>1640</v>
      </c>
      <c r="H114" s="634">
        <v>12.0</v>
      </c>
      <c r="I114" s="533"/>
      <c r="J114" s="616"/>
      <c r="K114" s="635"/>
      <c r="L114" s="431"/>
      <c r="M114" s="338" t="b">
        <v>0</v>
      </c>
      <c r="N114" s="27"/>
      <c r="O114" s="37"/>
      <c r="P114" s="470"/>
      <c r="Q114" s="470"/>
      <c r="R114" s="238"/>
      <c r="S114" s="238"/>
      <c r="T114" s="127" t="s">
        <v>1763</v>
      </c>
    </row>
    <row r="115">
      <c r="A115" s="126"/>
      <c r="B115" s="126"/>
      <c r="C115" s="126"/>
      <c r="D115" s="126"/>
      <c r="E115" s="126"/>
      <c r="F115" s="126"/>
      <c r="G115" s="126"/>
      <c r="H115" s="242"/>
      <c r="I115" s="242"/>
      <c r="J115" s="242"/>
      <c r="K115" s="242"/>
      <c r="L115" s="242"/>
      <c r="M115" s="242"/>
      <c r="N115" s="242" t="s">
        <v>101</v>
      </c>
      <c r="O115" s="165">
        <f t="shared" ref="O115:Q115" si="11">sum(O107:O113)</f>
        <v>8</v>
      </c>
      <c r="P115" s="165">
        <f t="shared" si="11"/>
        <v>247</v>
      </c>
      <c r="Q115" s="165">
        <f t="shared" si="11"/>
        <v>0</v>
      </c>
      <c r="R115" s="126"/>
      <c r="S115" s="210"/>
      <c r="T115" s="210"/>
    </row>
    <row r="116">
      <c r="A116" s="636" t="s">
        <v>2021</v>
      </c>
      <c r="B116" s="126"/>
      <c r="C116" s="126"/>
      <c r="D116" s="126"/>
      <c r="E116" s="126"/>
      <c r="F116" s="126"/>
      <c r="G116" s="126"/>
      <c r="H116" s="242"/>
      <c r="I116" s="242"/>
      <c r="J116" s="242"/>
      <c r="K116" s="242"/>
      <c r="L116" s="242"/>
      <c r="M116" s="242"/>
      <c r="N116" s="242"/>
      <c r="O116" s="165"/>
      <c r="P116" s="165"/>
      <c r="Q116" s="165"/>
      <c r="R116" s="126"/>
      <c r="S116" s="210"/>
      <c r="T116" s="210"/>
    </row>
    <row r="117">
      <c r="A117" s="126"/>
      <c r="B117" s="126"/>
      <c r="C117" s="126"/>
      <c r="D117" s="126"/>
      <c r="E117" s="126"/>
      <c r="F117" s="126"/>
      <c r="G117" s="126"/>
      <c r="H117" s="242"/>
      <c r="I117" s="242"/>
      <c r="J117" s="242"/>
      <c r="K117" s="242"/>
      <c r="L117" s="242"/>
      <c r="M117" s="242"/>
      <c r="N117" s="242"/>
      <c r="O117" s="165"/>
      <c r="P117" s="165"/>
      <c r="Q117" s="165"/>
      <c r="R117" s="126"/>
      <c r="S117" s="210"/>
      <c r="T117" s="210"/>
    </row>
    <row r="118">
      <c r="A118" s="126"/>
      <c r="B118" s="126"/>
      <c r="C118" s="126"/>
      <c r="D118" s="126"/>
      <c r="E118" s="126"/>
      <c r="F118" s="126"/>
      <c r="G118" s="126"/>
      <c r="H118" s="242"/>
      <c r="I118" s="242"/>
      <c r="J118" s="242"/>
      <c r="K118" s="242"/>
      <c r="L118" s="242"/>
      <c r="M118" s="242"/>
      <c r="N118" s="242"/>
      <c r="O118" s="165"/>
      <c r="P118" s="165"/>
      <c r="Q118" s="165"/>
      <c r="R118" s="126"/>
      <c r="S118" s="210"/>
      <c r="T118" s="210"/>
    </row>
    <row r="119">
      <c r="A119" s="166"/>
      <c r="B119" s="166"/>
      <c r="C119" s="166"/>
      <c r="D119" s="166"/>
      <c r="E119" s="166"/>
      <c r="F119" s="166"/>
      <c r="G119" s="166"/>
      <c r="H119" s="276"/>
      <c r="I119" s="276"/>
      <c r="J119" s="276"/>
      <c r="K119" s="276"/>
      <c r="L119" s="276"/>
      <c r="M119" s="276"/>
      <c r="N119" s="276"/>
      <c r="O119" s="166"/>
      <c r="P119" s="278"/>
      <c r="Q119" s="278"/>
      <c r="R119" s="166"/>
      <c r="S119" s="433"/>
      <c r="T119" s="433"/>
    </row>
    <row r="120">
      <c r="A120" s="152"/>
      <c r="B120" s="152"/>
      <c r="C120" s="152" t="s">
        <v>1771</v>
      </c>
      <c r="T120" s="591"/>
    </row>
    <row r="121">
      <c r="A121" s="534"/>
      <c r="B121" s="534"/>
      <c r="C121" s="534" t="s">
        <v>1673</v>
      </c>
      <c r="T121" s="206"/>
    </row>
    <row r="122">
      <c r="A122" s="28"/>
      <c r="B122" s="28"/>
      <c r="C122" s="28" t="s">
        <v>41</v>
      </c>
      <c r="D122" s="28"/>
      <c r="E122" s="28" t="s">
        <v>1999</v>
      </c>
      <c r="F122" s="28"/>
      <c r="G122" s="28" t="s">
        <v>2000</v>
      </c>
      <c r="H122" s="28"/>
      <c r="I122" s="28" t="s">
        <v>2001</v>
      </c>
      <c r="J122" s="28"/>
      <c r="K122" s="28"/>
      <c r="L122" s="28" t="s">
        <v>42</v>
      </c>
      <c r="M122" s="29" t="s">
        <v>43</v>
      </c>
      <c r="N122" s="28" t="s">
        <v>46</v>
      </c>
      <c r="O122" s="29" t="s">
        <v>47</v>
      </c>
      <c r="P122" s="29" t="s">
        <v>48</v>
      </c>
      <c r="Q122" s="29" t="s">
        <v>49</v>
      </c>
      <c r="R122" s="29" t="s">
        <v>50</v>
      </c>
      <c r="S122" s="29" t="s">
        <v>51</v>
      </c>
      <c r="T122" s="157" t="s">
        <v>2022</v>
      </c>
    </row>
    <row r="123">
      <c r="A123" s="557"/>
      <c r="B123" s="557">
        <v>9.0</v>
      </c>
      <c r="C123" s="578" t="s">
        <v>1243</v>
      </c>
      <c r="D123" s="557"/>
      <c r="E123" s="411" t="s">
        <v>1243</v>
      </c>
      <c r="F123" s="411"/>
      <c r="G123" s="511" t="s">
        <v>1264</v>
      </c>
      <c r="H123" s="431"/>
      <c r="I123" s="431"/>
      <c r="J123" s="431"/>
      <c r="K123" s="431"/>
      <c r="L123" s="431">
        <v>3580140.0</v>
      </c>
      <c r="M123" s="338" t="b">
        <v>1</v>
      </c>
      <c r="N123" s="27" t="s">
        <v>58</v>
      </c>
      <c r="O123" s="37">
        <v>1.0</v>
      </c>
      <c r="P123" s="470">
        <v>144.0</v>
      </c>
      <c r="Q123" s="470"/>
      <c r="R123" s="238" t="s">
        <v>1780</v>
      </c>
      <c r="S123" s="238" t="s">
        <v>1696</v>
      </c>
      <c r="T123" s="303" t="s">
        <v>1722</v>
      </c>
    </row>
    <row r="124">
      <c r="A124" s="557"/>
      <c r="B124" s="557">
        <v>9.0</v>
      </c>
      <c r="C124" s="578" t="s">
        <v>600</v>
      </c>
      <c r="D124" s="557"/>
      <c r="E124" s="411" t="s">
        <v>1438</v>
      </c>
      <c r="F124" s="411"/>
      <c r="G124" s="411" t="s">
        <v>1438</v>
      </c>
      <c r="H124" s="431"/>
      <c r="I124" s="431"/>
      <c r="J124" s="431"/>
      <c r="K124" s="431"/>
      <c r="L124" s="431">
        <v>3580200.0</v>
      </c>
      <c r="M124" s="338" t="b">
        <v>1</v>
      </c>
      <c r="N124" s="27" t="s">
        <v>71</v>
      </c>
      <c r="O124" s="37">
        <v>1.0</v>
      </c>
      <c r="P124" s="470">
        <v>144.0</v>
      </c>
      <c r="Q124" s="470"/>
      <c r="R124" s="238" t="s">
        <v>1782</v>
      </c>
      <c r="S124" s="238" t="s">
        <v>1783</v>
      </c>
      <c r="T124" s="637" t="s">
        <v>2023</v>
      </c>
    </row>
    <row r="125">
      <c r="A125" s="557"/>
      <c r="B125" s="557">
        <v>10.0</v>
      </c>
      <c r="C125" s="578" t="s">
        <v>1438</v>
      </c>
      <c r="D125" s="557"/>
      <c r="E125" s="411" t="s">
        <v>600</v>
      </c>
      <c r="F125" s="411"/>
      <c r="G125" s="411" t="s">
        <v>600</v>
      </c>
      <c r="H125" s="431"/>
      <c r="I125" s="431"/>
      <c r="J125" s="431"/>
      <c r="K125" s="431"/>
      <c r="L125" s="431">
        <v>3580380.0</v>
      </c>
      <c r="M125" s="338" t="b">
        <v>1</v>
      </c>
      <c r="N125" s="27" t="s">
        <v>71</v>
      </c>
      <c r="O125" s="37">
        <v>1.0</v>
      </c>
      <c r="P125" s="470">
        <v>144.0</v>
      </c>
      <c r="Q125" s="470"/>
      <c r="R125" s="232" t="s">
        <v>1784</v>
      </c>
      <c r="S125" s="232" t="s">
        <v>1696</v>
      </c>
      <c r="T125" s="637" t="s">
        <v>2023</v>
      </c>
    </row>
    <row r="126">
      <c r="A126" s="557"/>
      <c r="B126" s="557">
        <v>10.0</v>
      </c>
      <c r="C126" s="578" t="s">
        <v>1698</v>
      </c>
      <c r="D126" s="557"/>
      <c r="E126" s="411" t="s">
        <v>1439</v>
      </c>
      <c r="F126" s="411"/>
      <c r="G126" s="411" t="s">
        <v>1439</v>
      </c>
      <c r="H126" s="431"/>
      <c r="I126" s="431"/>
      <c r="J126" s="431"/>
      <c r="K126" s="431"/>
      <c r="L126" s="431">
        <v>3580300.0</v>
      </c>
      <c r="M126" s="338" t="b">
        <v>1</v>
      </c>
      <c r="N126" s="27" t="s">
        <v>82</v>
      </c>
      <c r="O126" s="37">
        <v>1.0</v>
      </c>
      <c r="P126" s="470">
        <v>18.0</v>
      </c>
      <c r="Q126" s="470"/>
      <c r="R126" s="238" t="s">
        <v>1782</v>
      </c>
      <c r="S126" s="238" t="s">
        <v>1783</v>
      </c>
      <c r="T126" s="637" t="s">
        <v>1701</v>
      </c>
    </row>
    <row r="127">
      <c r="A127" s="557"/>
      <c r="B127" s="557">
        <v>11.0</v>
      </c>
      <c r="C127" s="578" t="s">
        <v>1439</v>
      </c>
      <c r="D127" s="557"/>
      <c r="E127" s="411" t="s">
        <v>1698</v>
      </c>
      <c r="F127" s="411"/>
      <c r="G127" s="411" t="s">
        <v>1698</v>
      </c>
      <c r="H127" s="232"/>
      <c r="I127" s="232"/>
      <c r="J127" s="232"/>
      <c r="K127" s="232"/>
      <c r="L127" s="232">
        <v>3580390.0</v>
      </c>
      <c r="M127" s="338" t="b">
        <v>1</v>
      </c>
      <c r="N127" s="27" t="s">
        <v>82</v>
      </c>
      <c r="O127" s="37">
        <v>1.0</v>
      </c>
      <c r="P127" s="470">
        <v>144.0</v>
      </c>
      <c r="Q127" s="470"/>
      <c r="R127" s="232" t="s">
        <v>1636</v>
      </c>
      <c r="S127" s="232"/>
      <c r="T127" s="637" t="s">
        <v>755</v>
      </c>
    </row>
    <row r="128">
      <c r="A128" s="557"/>
      <c r="B128" s="557">
        <v>11.0</v>
      </c>
      <c r="C128" s="578" t="s">
        <v>2024</v>
      </c>
      <c r="D128" s="557"/>
      <c r="E128" s="411" t="s">
        <v>2025</v>
      </c>
      <c r="F128" s="411"/>
      <c r="G128" s="411" t="s">
        <v>2025</v>
      </c>
      <c r="H128" s="431"/>
      <c r="I128" s="431"/>
      <c r="J128" s="431"/>
      <c r="K128" s="431"/>
      <c r="L128" s="431">
        <v>3580350.0</v>
      </c>
      <c r="M128" s="338" t="b">
        <v>1</v>
      </c>
      <c r="N128" s="27" t="s">
        <v>96</v>
      </c>
      <c r="O128" s="37">
        <v>1.0</v>
      </c>
      <c r="P128" s="470">
        <v>0.0</v>
      </c>
      <c r="Q128" s="470"/>
      <c r="R128" s="238" t="s">
        <v>1636</v>
      </c>
      <c r="S128" s="238"/>
      <c r="T128" s="637" t="s">
        <v>1701</v>
      </c>
    </row>
    <row r="129">
      <c r="A129" s="562"/>
      <c r="B129" s="557">
        <v>12.0</v>
      </c>
      <c r="C129" s="638" t="s">
        <v>1183</v>
      </c>
      <c r="D129" s="562"/>
      <c r="E129" s="416" t="s">
        <v>1183</v>
      </c>
      <c r="F129" s="416"/>
      <c r="G129" s="416" t="s">
        <v>1183</v>
      </c>
      <c r="H129" s="431"/>
      <c r="I129" s="431"/>
      <c r="J129" s="431"/>
      <c r="K129" s="431"/>
      <c r="L129" s="431">
        <v>1.3028E7</v>
      </c>
      <c r="M129" s="338" t="b">
        <v>1</v>
      </c>
      <c r="N129" s="27" t="s">
        <v>96</v>
      </c>
      <c r="O129" s="37">
        <v>2.0</v>
      </c>
      <c r="P129" s="470">
        <v>0.0</v>
      </c>
      <c r="Q129" s="470"/>
      <c r="R129" s="232" t="s">
        <v>1636</v>
      </c>
      <c r="S129" s="232"/>
      <c r="T129" s="639"/>
    </row>
    <row r="130">
      <c r="A130" s="126"/>
      <c r="B130" s="126"/>
      <c r="C130" s="126"/>
      <c r="D130" s="126"/>
      <c r="E130" s="126"/>
      <c r="F130" s="126"/>
      <c r="G130" s="126"/>
      <c r="H130" s="242"/>
      <c r="I130" s="242"/>
      <c r="J130" s="242"/>
      <c r="K130" s="242"/>
      <c r="L130" s="242"/>
      <c r="M130" s="242"/>
      <c r="N130" s="242" t="s">
        <v>101</v>
      </c>
      <c r="O130" s="165">
        <f t="shared" ref="O130:Q130" si="12">sum(O123:O129)</f>
        <v>8</v>
      </c>
      <c r="P130" s="165">
        <f t="shared" si="12"/>
        <v>594</v>
      </c>
      <c r="Q130" s="165">
        <f t="shared" si="12"/>
        <v>0</v>
      </c>
      <c r="R130" s="126"/>
      <c r="S130" s="210"/>
      <c r="T130" s="210"/>
    </row>
    <row r="131">
      <c r="A131" s="166"/>
      <c r="B131" s="166"/>
      <c r="C131" s="166"/>
      <c r="D131" s="166"/>
      <c r="E131" s="166"/>
      <c r="F131" s="166"/>
      <c r="G131" s="166"/>
      <c r="H131" s="640">
        <v>0.0</v>
      </c>
      <c r="I131" s="276"/>
      <c r="J131" s="276"/>
      <c r="K131" s="276"/>
      <c r="L131" s="276"/>
      <c r="M131" s="276"/>
      <c r="N131" s="276"/>
      <c r="O131" s="166"/>
      <c r="P131" s="278"/>
      <c r="Q131" s="278"/>
      <c r="R131" s="166"/>
      <c r="S131" s="433"/>
      <c r="T131" s="433"/>
    </row>
    <row r="132">
      <c r="A132" s="152"/>
      <c r="B132" s="152"/>
      <c r="C132" s="152" t="s">
        <v>1805</v>
      </c>
      <c r="T132" s="591"/>
    </row>
    <row r="133">
      <c r="A133" s="641"/>
      <c r="B133" s="641"/>
      <c r="C133" s="641" t="s">
        <v>2026</v>
      </c>
      <c r="T133" s="206"/>
    </row>
    <row r="134">
      <c r="A134" s="28"/>
      <c r="B134" s="28"/>
      <c r="C134" s="28" t="s">
        <v>41</v>
      </c>
      <c r="D134" s="28"/>
      <c r="E134" s="28"/>
      <c r="F134" s="28"/>
      <c r="G134" s="28"/>
      <c r="H134" s="28"/>
      <c r="I134" s="28"/>
      <c r="J134" s="28"/>
      <c r="K134" s="28"/>
      <c r="L134" s="28" t="s">
        <v>42</v>
      </c>
      <c r="M134" s="29" t="s">
        <v>43</v>
      </c>
      <c r="N134" s="28" t="s">
        <v>46</v>
      </c>
      <c r="O134" s="29" t="s">
        <v>47</v>
      </c>
      <c r="P134" s="29" t="s">
        <v>48</v>
      </c>
      <c r="Q134" s="29" t="s">
        <v>49</v>
      </c>
      <c r="R134" s="29" t="s">
        <v>50</v>
      </c>
      <c r="S134" s="29" t="s">
        <v>51</v>
      </c>
      <c r="T134" s="157" t="s">
        <v>2027</v>
      </c>
    </row>
    <row r="135">
      <c r="A135" s="562"/>
      <c r="B135" s="595">
        <v>9.0</v>
      </c>
      <c r="C135" s="562" t="s">
        <v>504</v>
      </c>
      <c r="D135" s="562"/>
      <c r="E135" s="562"/>
      <c r="F135" s="562"/>
      <c r="G135" s="562"/>
      <c r="H135" s="175"/>
      <c r="I135" s="175"/>
      <c r="J135" s="175"/>
      <c r="K135" s="175"/>
      <c r="L135" s="175">
        <v>1.30202E7</v>
      </c>
      <c r="M135" s="338" t="b">
        <v>1</v>
      </c>
      <c r="N135" s="27" t="s">
        <v>58</v>
      </c>
      <c r="O135" s="37">
        <v>1.0</v>
      </c>
      <c r="P135" s="470">
        <v>120.0</v>
      </c>
      <c r="Q135" s="470"/>
      <c r="R135" s="232" t="s">
        <v>2028</v>
      </c>
      <c r="S135" s="232" t="s">
        <v>2029</v>
      </c>
      <c r="T135" s="210"/>
    </row>
    <row r="136">
      <c r="A136" s="557"/>
      <c r="B136" s="595">
        <v>9.0</v>
      </c>
      <c r="C136" s="557" t="s">
        <v>1653</v>
      </c>
      <c r="D136" s="557"/>
      <c r="E136" s="557"/>
      <c r="F136" s="557"/>
      <c r="G136" s="557"/>
      <c r="H136" s="431"/>
      <c r="I136" s="431"/>
      <c r="J136" s="431"/>
      <c r="K136" s="431"/>
      <c r="L136" s="431">
        <v>1.30203E7</v>
      </c>
      <c r="M136" s="338" t="b">
        <v>1</v>
      </c>
      <c r="N136" s="27" t="s">
        <v>71</v>
      </c>
      <c r="O136" s="37">
        <v>1.0</v>
      </c>
      <c r="P136" s="470">
        <v>120.0</v>
      </c>
      <c r="Q136" s="470"/>
      <c r="R136" s="232" t="s">
        <v>2030</v>
      </c>
      <c r="S136" s="232" t="s">
        <v>2031</v>
      </c>
      <c r="T136" s="210"/>
    </row>
    <row r="137">
      <c r="A137" s="642"/>
      <c r="B137" s="643">
        <v>10.0</v>
      </c>
      <c r="C137" s="642" t="s">
        <v>2032</v>
      </c>
      <c r="D137" s="642"/>
      <c r="E137" s="642"/>
      <c r="F137" s="642"/>
      <c r="G137" s="642"/>
      <c r="H137" s="431"/>
      <c r="I137" s="431"/>
      <c r="J137" s="431"/>
      <c r="K137" s="431"/>
      <c r="L137" s="431" t="s">
        <v>2033</v>
      </c>
      <c r="M137" s="338" t="b">
        <v>1</v>
      </c>
      <c r="N137" s="27" t="s">
        <v>82</v>
      </c>
      <c r="O137" s="37">
        <v>2.0</v>
      </c>
      <c r="P137" s="470">
        <v>72.0</v>
      </c>
      <c r="Q137" s="470"/>
      <c r="R137" s="232" t="s">
        <v>2034</v>
      </c>
      <c r="S137" s="232" t="s">
        <v>2035</v>
      </c>
      <c r="T137" s="210"/>
    </row>
    <row r="138">
      <c r="A138" s="642"/>
      <c r="B138" s="643">
        <v>10.0</v>
      </c>
      <c r="C138" s="642" t="s">
        <v>2036</v>
      </c>
      <c r="D138" s="642"/>
      <c r="E138" s="642"/>
      <c r="F138" s="642"/>
      <c r="G138" s="642"/>
      <c r="H138" s="431"/>
      <c r="I138" s="431"/>
      <c r="J138" s="431"/>
      <c r="K138" s="431"/>
      <c r="L138" s="431"/>
      <c r="M138" s="338" t="b">
        <v>0</v>
      </c>
      <c r="N138" s="27"/>
      <c r="O138" s="37"/>
      <c r="P138" s="470"/>
      <c r="Q138" s="470"/>
      <c r="R138" s="232"/>
      <c r="S138" s="232"/>
      <c r="T138" s="210"/>
    </row>
    <row r="139">
      <c r="A139" s="296"/>
      <c r="B139" s="470">
        <v>11.0</v>
      </c>
      <c r="C139" s="296" t="s">
        <v>2037</v>
      </c>
      <c r="D139" s="296"/>
      <c r="E139" s="296"/>
      <c r="F139" s="296"/>
      <c r="G139" s="296"/>
      <c r="H139" s="232"/>
      <c r="I139" s="232"/>
      <c r="J139" s="232"/>
      <c r="K139" s="232"/>
      <c r="L139" s="232">
        <v>1.30205E7</v>
      </c>
      <c r="M139" s="338" t="b">
        <v>1</v>
      </c>
      <c r="N139" s="27" t="s">
        <v>82</v>
      </c>
      <c r="O139" s="37">
        <v>1.0</v>
      </c>
      <c r="P139" s="43">
        <v>72.0</v>
      </c>
      <c r="Q139" s="43"/>
      <c r="R139" s="232" t="s">
        <v>2038</v>
      </c>
      <c r="S139" s="232" t="s">
        <v>2029</v>
      </c>
      <c r="T139" s="210"/>
    </row>
    <row r="140">
      <c r="A140" s="296"/>
      <c r="B140" s="470">
        <v>12.0</v>
      </c>
      <c r="C140" s="296" t="s">
        <v>2039</v>
      </c>
      <c r="D140" s="296"/>
      <c r="E140" s="296"/>
      <c r="F140" s="296"/>
      <c r="G140" s="296"/>
      <c r="H140" s="232"/>
      <c r="I140" s="232"/>
      <c r="J140" s="232"/>
      <c r="K140" s="232"/>
      <c r="L140" s="232">
        <v>1.302051E7</v>
      </c>
      <c r="M140" s="338" t="b">
        <v>1</v>
      </c>
      <c r="N140" s="27" t="s">
        <v>96</v>
      </c>
      <c r="O140" s="37">
        <v>2.0</v>
      </c>
      <c r="P140" s="470">
        <v>0.0</v>
      </c>
      <c r="Q140" s="470"/>
      <c r="R140" s="232" t="s">
        <v>2038</v>
      </c>
      <c r="S140" s="232" t="s">
        <v>2029</v>
      </c>
      <c r="T140" s="303" t="s">
        <v>1854</v>
      </c>
    </row>
    <row r="141">
      <c r="A141" s="126"/>
      <c r="B141" s="126"/>
      <c r="C141" s="126"/>
      <c r="D141" s="126"/>
      <c r="E141" s="126"/>
      <c r="F141" s="126"/>
      <c r="G141" s="126"/>
      <c r="H141" s="242"/>
      <c r="I141" s="242"/>
      <c r="J141" s="242"/>
      <c r="K141" s="242"/>
      <c r="L141" s="242"/>
      <c r="M141" s="242"/>
      <c r="N141" s="242" t="s">
        <v>101</v>
      </c>
      <c r="O141" s="165">
        <f t="shared" ref="O141:Q141" si="13">sum(O135:O140)</f>
        <v>7</v>
      </c>
      <c r="P141" s="165">
        <f t="shared" si="13"/>
        <v>384</v>
      </c>
      <c r="Q141" s="165">
        <f t="shared" si="13"/>
        <v>0</v>
      </c>
      <c r="R141" s="126"/>
      <c r="S141" s="210"/>
      <c r="T141" s="210"/>
    </row>
    <row r="142">
      <c r="A142" s="166"/>
      <c r="B142" s="166"/>
      <c r="C142" s="166"/>
      <c r="D142" s="166"/>
      <c r="E142" s="166"/>
      <c r="F142" s="166"/>
      <c r="G142" s="166"/>
      <c r="H142" s="276"/>
      <c r="I142" s="276"/>
      <c r="J142" s="276"/>
      <c r="K142" s="276"/>
      <c r="L142" s="276"/>
      <c r="M142" s="276"/>
      <c r="N142" s="276"/>
      <c r="O142" s="166"/>
      <c r="P142" s="278"/>
      <c r="Q142" s="278"/>
      <c r="R142" s="166"/>
      <c r="S142" s="433"/>
      <c r="T142" s="433"/>
    </row>
    <row r="143">
      <c r="A143" s="152"/>
      <c r="B143" s="152"/>
      <c r="C143" s="152" t="s">
        <v>1828</v>
      </c>
      <c r="T143" s="591"/>
    </row>
    <row r="144">
      <c r="A144" s="534"/>
      <c r="B144" s="534"/>
      <c r="C144" s="534" t="s">
        <v>1871</v>
      </c>
      <c r="T144" s="206"/>
    </row>
    <row r="145">
      <c r="A145" s="28"/>
      <c r="B145" s="28"/>
      <c r="C145" s="28" t="s">
        <v>41</v>
      </c>
      <c r="D145" s="28"/>
      <c r="E145" s="28"/>
      <c r="F145" s="28"/>
      <c r="G145" s="28"/>
      <c r="H145" s="28"/>
      <c r="I145" s="28"/>
      <c r="J145" s="28"/>
      <c r="K145" s="28"/>
      <c r="L145" s="28" t="s">
        <v>42</v>
      </c>
      <c r="M145" s="29" t="s">
        <v>43</v>
      </c>
      <c r="N145" s="28" t="s">
        <v>46</v>
      </c>
      <c r="O145" s="29" t="s">
        <v>47</v>
      </c>
      <c r="P145" s="29" t="s">
        <v>48</v>
      </c>
      <c r="Q145" s="29" t="s">
        <v>49</v>
      </c>
      <c r="R145" s="29" t="s">
        <v>50</v>
      </c>
      <c r="S145" s="29" t="s">
        <v>51</v>
      </c>
      <c r="T145" s="157" t="s">
        <v>2040</v>
      </c>
    </row>
    <row r="146">
      <c r="A146" s="644"/>
      <c r="B146" s="611">
        <v>9.0</v>
      </c>
      <c r="C146" s="611" t="s">
        <v>2041</v>
      </c>
      <c r="D146" s="644"/>
      <c r="E146" s="644"/>
      <c r="F146" s="644"/>
      <c r="G146" s="644"/>
      <c r="H146" s="175"/>
      <c r="I146" s="175"/>
      <c r="J146" s="175"/>
      <c r="K146" s="175"/>
      <c r="L146" s="175">
        <v>1.30202E7</v>
      </c>
      <c r="M146" s="338" t="b">
        <v>1</v>
      </c>
      <c r="N146" s="27" t="s">
        <v>58</v>
      </c>
      <c r="O146" s="37">
        <v>1.0</v>
      </c>
      <c r="P146" s="470">
        <v>24.0</v>
      </c>
      <c r="Q146" s="470"/>
      <c r="R146" s="232" t="s">
        <v>2028</v>
      </c>
      <c r="S146" s="232" t="s">
        <v>2029</v>
      </c>
      <c r="T146" s="210"/>
    </row>
    <row r="147">
      <c r="A147" s="611"/>
      <c r="B147" s="611">
        <v>9.0</v>
      </c>
      <c r="C147" s="611" t="s">
        <v>2042</v>
      </c>
      <c r="D147" s="611"/>
      <c r="E147" s="611"/>
      <c r="F147" s="611"/>
      <c r="G147" s="611"/>
      <c r="H147" s="431"/>
      <c r="I147" s="431"/>
      <c r="J147" s="431"/>
      <c r="K147" s="431"/>
      <c r="L147" s="431">
        <v>1.30203E7</v>
      </c>
      <c r="M147" s="338" t="b">
        <v>1</v>
      </c>
      <c r="N147" s="27" t="s">
        <v>71</v>
      </c>
      <c r="O147" s="37">
        <v>1.0</v>
      </c>
      <c r="P147" s="470">
        <v>24.0</v>
      </c>
      <c r="Q147" s="470"/>
      <c r="R147" s="232" t="s">
        <v>2030</v>
      </c>
      <c r="S147" s="232" t="s">
        <v>2031</v>
      </c>
      <c r="T147" s="210"/>
    </row>
    <row r="148">
      <c r="A148" s="642"/>
      <c r="B148" s="643">
        <v>10.0</v>
      </c>
      <c r="C148" s="642" t="s">
        <v>2043</v>
      </c>
      <c r="D148" s="642"/>
      <c r="E148" s="642"/>
      <c r="F148" s="642"/>
      <c r="G148" s="642"/>
      <c r="H148" s="431"/>
      <c r="I148" s="431"/>
      <c r="J148" s="431"/>
      <c r="K148" s="431"/>
      <c r="L148" s="431" t="s">
        <v>2033</v>
      </c>
      <c r="M148" s="338" t="b">
        <v>1</v>
      </c>
      <c r="N148" s="27" t="s">
        <v>82</v>
      </c>
      <c r="O148" s="37">
        <v>2.0</v>
      </c>
      <c r="P148" s="470">
        <v>0.0</v>
      </c>
      <c r="Q148" s="470"/>
      <c r="R148" s="232" t="s">
        <v>2034</v>
      </c>
      <c r="S148" s="232" t="s">
        <v>2035</v>
      </c>
      <c r="T148" s="210"/>
    </row>
    <row r="149">
      <c r="A149" s="642"/>
      <c r="B149" s="643">
        <v>10.0</v>
      </c>
      <c r="C149" s="642" t="s">
        <v>2044</v>
      </c>
      <c r="D149" s="642"/>
      <c r="E149" s="642"/>
      <c r="F149" s="642"/>
      <c r="G149" s="642"/>
      <c r="H149" s="431"/>
      <c r="I149" s="431"/>
      <c r="J149" s="431"/>
      <c r="K149" s="431"/>
      <c r="L149" s="431"/>
      <c r="M149" s="338" t="b">
        <v>0</v>
      </c>
      <c r="N149" s="27"/>
      <c r="O149" s="37"/>
      <c r="P149" s="470"/>
      <c r="Q149" s="470"/>
      <c r="R149" s="232"/>
      <c r="S149" s="232"/>
      <c r="T149" s="210"/>
    </row>
    <row r="150">
      <c r="A150" s="644"/>
      <c r="B150" s="611">
        <v>11.0</v>
      </c>
      <c r="C150" s="611" t="s">
        <v>2045</v>
      </c>
      <c r="D150" s="644"/>
      <c r="E150" s="644"/>
      <c r="F150" s="644"/>
      <c r="G150" s="644"/>
      <c r="H150" s="431"/>
      <c r="I150" s="431"/>
      <c r="J150" s="431"/>
      <c r="K150" s="431"/>
      <c r="L150" s="431">
        <v>1.30205E7</v>
      </c>
      <c r="M150" s="338" t="b">
        <v>1</v>
      </c>
      <c r="N150" s="27" t="s">
        <v>96</v>
      </c>
      <c r="O150" s="37">
        <v>2.0</v>
      </c>
      <c r="P150" s="470">
        <v>0.0</v>
      </c>
      <c r="Q150" s="43"/>
      <c r="R150" s="232"/>
      <c r="S150" s="206"/>
      <c r="T150" s="210"/>
    </row>
    <row r="151">
      <c r="A151" s="644"/>
      <c r="B151" s="611">
        <v>12.0</v>
      </c>
      <c r="C151" s="611" t="s">
        <v>2046</v>
      </c>
      <c r="D151" s="644"/>
      <c r="E151" s="644"/>
      <c r="F151" s="644"/>
      <c r="G151" s="644"/>
      <c r="H151" s="431"/>
      <c r="I151" s="431"/>
      <c r="J151" s="431"/>
      <c r="K151" s="431"/>
      <c r="L151" s="431">
        <v>1.302051E7</v>
      </c>
      <c r="M151" s="338" t="b">
        <v>1</v>
      </c>
      <c r="N151" s="27" t="s">
        <v>96</v>
      </c>
      <c r="O151" s="37">
        <v>2.0</v>
      </c>
      <c r="P151" s="470">
        <v>0.0</v>
      </c>
      <c r="Q151" s="470"/>
      <c r="R151" s="232"/>
      <c r="S151" s="206"/>
      <c r="T151" s="303" t="s">
        <v>1845</v>
      </c>
    </row>
    <row r="152">
      <c r="A152" s="126"/>
      <c r="B152" s="126"/>
      <c r="C152" s="126"/>
      <c r="D152" s="126"/>
      <c r="E152" s="126"/>
      <c r="F152" s="126"/>
      <c r="G152" s="126"/>
      <c r="H152" s="242"/>
      <c r="I152" s="242"/>
      <c r="J152" s="242"/>
      <c r="K152" s="242"/>
      <c r="L152" s="242"/>
      <c r="M152" s="242"/>
      <c r="N152" s="242" t="s">
        <v>101</v>
      </c>
      <c r="O152" s="165">
        <f t="shared" ref="O152:Q152" si="14">sum(O146:O151)</f>
        <v>8</v>
      </c>
      <c r="P152" s="165">
        <f t="shared" si="14"/>
        <v>48</v>
      </c>
      <c r="Q152" s="165">
        <f t="shared" si="14"/>
        <v>0</v>
      </c>
      <c r="R152" s="126"/>
      <c r="S152" s="210"/>
      <c r="T152" s="210"/>
    </row>
    <row r="153">
      <c r="A153" s="166"/>
      <c r="B153" s="166"/>
      <c r="C153" s="166"/>
      <c r="D153" s="166"/>
      <c r="E153" s="166"/>
      <c r="F153" s="166"/>
      <c r="G153" s="166"/>
      <c r="H153" s="276"/>
      <c r="I153" s="276"/>
      <c r="J153" s="276"/>
      <c r="K153" s="276"/>
      <c r="L153" s="276"/>
      <c r="M153" s="276"/>
      <c r="N153" s="276"/>
      <c r="O153" s="166"/>
      <c r="P153" s="278"/>
      <c r="Q153" s="278"/>
      <c r="R153" s="166"/>
      <c r="S153" s="433"/>
      <c r="T153" s="433"/>
    </row>
    <row r="154">
      <c r="A154" s="152"/>
      <c r="B154" s="152"/>
      <c r="C154" s="152" t="s">
        <v>1846</v>
      </c>
      <c r="T154" s="591"/>
    </row>
    <row r="155">
      <c r="A155" s="534"/>
      <c r="B155" s="534"/>
      <c r="C155" s="534" t="s">
        <v>2047</v>
      </c>
      <c r="T155" s="206"/>
    </row>
    <row r="156">
      <c r="A156" s="28"/>
      <c r="B156" s="28"/>
      <c r="C156" s="28" t="s">
        <v>41</v>
      </c>
      <c r="D156" s="28"/>
      <c r="E156" s="28"/>
      <c r="F156" s="28"/>
      <c r="G156" s="28"/>
      <c r="H156" s="28"/>
      <c r="I156" s="28"/>
      <c r="J156" s="28"/>
      <c r="K156" s="28"/>
      <c r="L156" s="28" t="s">
        <v>42</v>
      </c>
      <c r="M156" s="29" t="s">
        <v>43</v>
      </c>
      <c r="N156" s="28" t="s">
        <v>46</v>
      </c>
      <c r="O156" s="29" t="s">
        <v>47</v>
      </c>
      <c r="P156" s="29" t="s">
        <v>48</v>
      </c>
      <c r="Q156" s="29" t="s">
        <v>49</v>
      </c>
      <c r="R156" s="29" t="s">
        <v>50</v>
      </c>
      <c r="S156" s="29" t="s">
        <v>51</v>
      </c>
      <c r="T156" s="157" t="s">
        <v>2048</v>
      </c>
    </row>
    <row r="157">
      <c r="A157" s="644"/>
      <c r="B157" s="611">
        <v>9.0</v>
      </c>
      <c r="C157" s="644" t="s">
        <v>504</v>
      </c>
      <c r="D157" s="644"/>
      <c r="E157" s="644"/>
      <c r="F157" s="644"/>
      <c r="G157" s="644"/>
      <c r="H157" s="175"/>
      <c r="I157" s="175"/>
      <c r="J157" s="175"/>
      <c r="K157" s="175"/>
      <c r="L157" s="175">
        <v>1.30202E7</v>
      </c>
      <c r="M157" s="338" t="b">
        <v>1</v>
      </c>
      <c r="N157" s="27" t="s">
        <v>58</v>
      </c>
      <c r="O157" s="37">
        <v>1.0</v>
      </c>
      <c r="P157" s="470">
        <v>48.0</v>
      </c>
      <c r="Q157" s="470"/>
      <c r="R157" s="232" t="s">
        <v>2028</v>
      </c>
      <c r="S157" s="232" t="s">
        <v>2029</v>
      </c>
      <c r="T157" s="210"/>
    </row>
    <row r="158">
      <c r="A158" s="611"/>
      <c r="B158" s="611">
        <v>9.0</v>
      </c>
      <c r="C158" s="611" t="s">
        <v>1653</v>
      </c>
      <c r="D158" s="611"/>
      <c r="E158" s="611"/>
      <c r="F158" s="611"/>
      <c r="G158" s="611"/>
      <c r="H158" s="431"/>
      <c r="I158" s="431"/>
      <c r="J158" s="431"/>
      <c r="K158" s="431"/>
      <c r="L158" s="431">
        <v>1.30203E7</v>
      </c>
      <c r="M158" s="338" t="b">
        <v>1</v>
      </c>
      <c r="N158" s="27" t="s">
        <v>71</v>
      </c>
      <c r="O158" s="37">
        <v>1.0</v>
      </c>
      <c r="P158" s="470">
        <v>48.0</v>
      </c>
      <c r="Q158" s="470"/>
      <c r="R158" s="232" t="s">
        <v>2030</v>
      </c>
      <c r="S158" s="232" t="s">
        <v>2031</v>
      </c>
      <c r="T158" s="210"/>
    </row>
    <row r="159">
      <c r="A159" s="645"/>
      <c r="B159" s="643">
        <v>10.0</v>
      </c>
      <c r="C159" s="642" t="s">
        <v>2032</v>
      </c>
      <c r="D159" s="645"/>
      <c r="E159" s="645"/>
      <c r="F159" s="645"/>
      <c r="G159" s="645"/>
      <c r="H159" s="431"/>
      <c r="I159" s="431"/>
      <c r="J159" s="431"/>
      <c r="K159" s="431"/>
      <c r="L159" s="431" t="s">
        <v>2033</v>
      </c>
      <c r="M159" s="338" t="b">
        <v>1</v>
      </c>
      <c r="N159" s="27" t="s">
        <v>82</v>
      </c>
      <c r="O159" s="37">
        <v>2.0</v>
      </c>
      <c r="P159" s="470">
        <v>0.0</v>
      </c>
      <c r="Q159" s="470"/>
      <c r="R159" s="232" t="s">
        <v>2034</v>
      </c>
      <c r="S159" s="232" t="s">
        <v>2035</v>
      </c>
      <c r="T159" s="210"/>
    </row>
    <row r="160">
      <c r="A160" s="645"/>
      <c r="B160" s="643">
        <v>10.0</v>
      </c>
      <c r="C160" s="642" t="s">
        <v>2036</v>
      </c>
      <c r="D160" s="645"/>
      <c r="E160" s="645"/>
      <c r="F160" s="645"/>
      <c r="G160" s="645"/>
      <c r="H160" s="431"/>
      <c r="I160" s="431"/>
      <c r="J160" s="431"/>
      <c r="K160" s="431"/>
      <c r="L160" s="431"/>
      <c r="M160" s="338" t="b">
        <v>0</v>
      </c>
      <c r="N160" s="27"/>
      <c r="O160" s="37"/>
      <c r="P160" s="470"/>
      <c r="Q160" s="470"/>
      <c r="R160" s="232"/>
      <c r="S160" s="232"/>
      <c r="T160" s="210"/>
    </row>
    <row r="161">
      <c r="A161" s="644"/>
      <c r="B161" s="611">
        <v>11.0</v>
      </c>
      <c r="C161" s="644" t="s">
        <v>2049</v>
      </c>
      <c r="D161" s="644"/>
      <c r="E161" s="644"/>
      <c r="F161" s="644"/>
      <c r="G161" s="644"/>
      <c r="H161" s="431"/>
      <c r="I161" s="431"/>
      <c r="J161" s="431"/>
      <c r="K161" s="431"/>
      <c r="L161" s="431">
        <v>1.30205E7</v>
      </c>
      <c r="M161" s="338" t="b">
        <v>1</v>
      </c>
      <c r="N161" s="27" t="s">
        <v>96</v>
      </c>
      <c r="O161" s="37">
        <v>2.0</v>
      </c>
      <c r="P161" s="470">
        <v>0.0</v>
      </c>
      <c r="Q161" s="43"/>
      <c r="R161" s="232"/>
      <c r="S161" s="206"/>
      <c r="T161" s="303" t="s">
        <v>2050</v>
      </c>
    </row>
    <row r="162">
      <c r="A162" s="644"/>
      <c r="B162" s="611">
        <v>12.0</v>
      </c>
      <c r="C162" s="644" t="s">
        <v>2051</v>
      </c>
      <c r="D162" s="644"/>
      <c r="E162" s="644"/>
      <c r="F162" s="644"/>
      <c r="G162" s="644"/>
      <c r="H162" s="431"/>
      <c r="I162" s="431"/>
      <c r="J162" s="431"/>
      <c r="K162" s="431"/>
      <c r="L162" s="431">
        <v>1.302051E7</v>
      </c>
      <c r="M162" s="338" t="b">
        <v>1</v>
      </c>
      <c r="N162" s="27" t="s">
        <v>96</v>
      </c>
      <c r="O162" s="37">
        <v>2.0</v>
      </c>
      <c r="P162" s="470">
        <v>0.0</v>
      </c>
      <c r="Q162" s="470"/>
      <c r="R162" s="232"/>
      <c r="S162" s="206"/>
      <c r="T162" s="303" t="s">
        <v>2052</v>
      </c>
    </row>
    <row r="163">
      <c r="A163" s="126"/>
      <c r="B163" s="126"/>
      <c r="C163" s="126"/>
      <c r="D163" s="126"/>
      <c r="E163" s="126"/>
      <c r="F163" s="126"/>
      <c r="G163" s="126"/>
      <c r="H163" s="242"/>
      <c r="I163" s="242"/>
      <c r="J163" s="242"/>
      <c r="K163" s="242"/>
      <c r="L163" s="242"/>
      <c r="M163" s="242"/>
      <c r="N163" s="242" t="s">
        <v>101</v>
      </c>
      <c r="O163" s="165">
        <f t="shared" ref="O163:Q163" si="15">sum(O157:O162)</f>
        <v>8</v>
      </c>
      <c r="P163" s="165">
        <f t="shared" si="15"/>
        <v>96</v>
      </c>
      <c r="Q163" s="165">
        <f t="shared" si="15"/>
        <v>0</v>
      </c>
      <c r="R163" s="126"/>
      <c r="S163" s="210"/>
      <c r="T163" s="210"/>
    </row>
    <row r="164">
      <c r="A164" s="166"/>
      <c r="B164" s="166"/>
      <c r="C164" s="166"/>
      <c r="D164" s="166"/>
      <c r="E164" s="166"/>
      <c r="F164" s="166"/>
      <c r="G164" s="166"/>
      <c r="H164" s="276"/>
      <c r="I164" s="276"/>
      <c r="J164" s="276"/>
      <c r="K164" s="276"/>
      <c r="L164" s="276"/>
      <c r="M164" s="276"/>
      <c r="N164" s="276"/>
      <c r="O164" s="166"/>
      <c r="P164" s="278"/>
      <c r="Q164" s="278"/>
      <c r="R164" s="166"/>
      <c r="S164" s="433"/>
      <c r="T164" s="433"/>
    </row>
    <row r="165">
      <c r="A165" s="152"/>
      <c r="B165" s="152"/>
      <c r="C165" s="152" t="s">
        <v>1855</v>
      </c>
      <c r="T165" s="591"/>
    </row>
    <row r="166">
      <c r="A166" s="534"/>
      <c r="B166" s="534"/>
      <c r="C166" s="534" t="s">
        <v>2053</v>
      </c>
      <c r="T166" s="206"/>
    </row>
    <row r="167">
      <c r="A167" s="28"/>
      <c r="B167" s="28"/>
      <c r="C167" s="28" t="s">
        <v>41</v>
      </c>
      <c r="D167" s="28"/>
      <c r="E167" s="28"/>
      <c r="F167" s="28"/>
      <c r="G167" s="28"/>
      <c r="H167" s="28"/>
      <c r="I167" s="28"/>
      <c r="J167" s="28"/>
      <c r="K167" s="28"/>
      <c r="L167" s="28" t="s">
        <v>42</v>
      </c>
      <c r="M167" s="29" t="s">
        <v>43</v>
      </c>
      <c r="N167" s="28" t="s">
        <v>46</v>
      </c>
      <c r="O167" s="29" t="s">
        <v>47</v>
      </c>
      <c r="P167" s="29" t="s">
        <v>48</v>
      </c>
      <c r="Q167" s="29" t="s">
        <v>49</v>
      </c>
      <c r="R167" s="29" t="s">
        <v>50</v>
      </c>
      <c r="S167" s="29" t="s">
        <v>51</v>
      </c>
      <c r="T167" s="157" t="s">
        <v>2054</v>
      </c>
    </row>
    <row r="168">
      <c r="A168" s="644"/>
      <c r="B168" s="611">
        <v>9.0</v>
      </c>
      <c r="C168" s="611" t="s">
        <v>2041</v>
      </c>
      <c r="D168" s="644"/>
      <c r="E168" s="644"/>
      <c r="F168" s="644"/>
      <c r="G168" s="644"/>
      <c r="H168" s="175"/>
      <c r="I168" s="175"/>
      <c r="J168" s="175"/>
      <c r="K168" s="175"/>
      <c r="L168" s="175">
        <v>1.30202E7</v>
      </c>
      <c r="M168" s="338" t="b">
        <v>1</v>
      </c>
      <c r="N168" s="27" t="s">
        <v>58</v>
      </c>
      <c r="O168" s="37">
        <v>1.0</v>
      </c>
      <c r="P168" s="470">
        <v>24.0</v>
      </c>
      <c r="Q168" s="470"/>
      <c r="R168" s="232" t="s">
        <v>2028</v>
      </c>
      <c r="S168" s="232" t="s">
        <v>2029</v>
      </c>
      <c r="T168" s="210"/>
    </row>
    <row r="169">
      <c r="A169" s="611"/>
      <c r="B169" s="611">
        <v>9.0</v>
      </c>
      <c r="C169" s="611" t="s">
        <v>2042</v>
      </c>
      <c r="D169" s="611"/>
      <c r="E169" s="611"/>
      <c r="F169" s="611"/>
      <c r="G169" s="611"/>
      <c r="H169" s="431"/>
      <c r="I169" s="431"/>
      <c r="J169" s="431"/>
      <c r="K169" s="431"/>
      <c r="L169" s="431">
        <v>1.30203E7</v>
      </c>
      <c r="M169" s="338" t="b">
        <v>1</v>
      </c>
      <c r="N169" s="27" t="s">
        <v>71</v>
      </c>
      <c r="O169" s="37">
        <v>1.0</v>
      </c>
      <c r="P169" s="470">
        <v>24.0</v>
      </c>
      <c r="Q169" s="470"/>
      <c r="R169" s="232" t="s">
        <v>2030</v>
      </c>
      <c r="S169" s="232" t="s">
        <v>2031</v>
      </c>
      <c r="T169" s="210"/>
    </row>
    <row r="170">
      <c r="A170" s="645"/>
      <c r="B170" s="643">
        <v>10.0</v>
      </c>
      <c r="C170" s="642" t="s">
        <v>2043</v>
      </c>
      <c r="D170" s="645"/>
      <c r="E170" s="645"/>
      <c r="F170" s="645"/>
      <c r="G170" s="645"/>
      <c r="H170" s="431"/>
      <c r="I170" s="431"/>
      <c r="J170" s="431"/>
      <c r="K170" s="431"/>
      <c r="L170" s="431" t="s">
        <v>2033</v>
      </c>
      <c r="M170" s="338" t="b">
        <v>1</v>
      </c>
      <c r="N170" s="27" t="s">
        <v>82</v>
      </c>
      <c r="O170" s="37">
        <v>2.0</v>
      </c>
      <c r="P170" s="470">
        <v>0.0</v>
      </c>
      <c r="Q170" s="470"/>
      <c r="R170" s="232" t="s">
        <v>2034</v>
      </c>
      <c r="S170" s="232" t="s">
        <v>2035</v>
      </c>
      <c r="T170" s="210"/>
    </row>
    <row r="171">
      <c r="A171" s="645"/>
      <c r="B171" s="643">
        <v>10.0</v>
      </c>
      <c r="C171" s="642" t="s">
        <v>2044</v>
      </c>
      <c r="D171" s="645"/>
      <c r="E171" s="645"/>
      <c r="F171" s="645"/>
      <c r="G171" s="645"/>
      <c r="H171" s="431"/>
      <c r="I171" s="431"/>
      <c r="J171" s="431"/>
      <c r="K171" s="431"/>
      <c r="L171" s="431"/>
      <c r="M171" s="338" t="b">
        <v>0</v>
      </c>
      <c r="N171" s="27"/>
      <c r="O171" s="37"/>
      <c r="P171" s="470"/>
      <c r="Q171" s="470"/>
      <c r="R171" s="232"/>
      <c r="S171" s="232"/>
      <c r="T171" s="210"/>
    </row>
    <row r="172">
      <c r="A172" s="611"/>
      <c r="B172" s="611">
        <v>11.0</v>
      </c>
      <c r="C172" s="611" t="s">
        <v>2055</v>
      </c>
      <c r="D172" s="611"/>
      <c r="E172" s="611"/>
      <c r="F172" s="611"/>
      <c r="G172" s="611"/>
      <c r="H172" s="431"/>
      <c r="I172" s="431"/>
      <c r="J172" s="431"/>
      <c r="K172" s="431"/>
      <c r="L172" s="431">
        <v>1.30205E7</v>
      </c>
      <c r="M172" s="338" t="b">
        <v>1</v>
      </c>
      <c r="N172" s="27" t="s">
        <v>96</v>
      </c>
      <c r="O172" s="37">
        <v>2.0</v>
      </c>
      <c r="P172" s="470">
        <v>0.0</v>
      </c>
      <c r="Q172" s="43"/>
      <c r="R172" s="232"/>
      <c r="S172" s="206"/>
      <c r="T172" s="210"/>
    </row>
    <row r="173">
      <c r="A173" s="611"/>
      <c r="B173" s="611">
        <v>12.0</v>
      </c>
      <c r="C173" s="611" t="s">
        <v>2056</v>
      </c>
      <c r="D173" s="611"/>
      <c r="E173" s="611"/>
      <c r="F173" s="611"/>
      <c r="G173" s="611"/>
      <c r="H173" s="431"/>
      <c r="I173" s="431"/>
      <c r="J173" s="431"/>
      <c r="K173" s="431"/>
      <c r="L173" s="431">
        <v>1.302051E7</v>
      </c>
      <c r="M173" s="338" t="b">
        <v>1</v>
      </c>
      <c r="N173" s="27" t="s">
        <v>96</v>
      </c>
      <c r="O173" s="37">
        <v>2.0</v>
      </c>
      <c r="P173" s="470">
        <v>0.0</v>
      </c>
      <c r="Q173" s="470"/>
      <c r="R173" s="232"/>
      <c r="S173" s="206"/>
      <c r="T173" s="303" t="s">
        <v>2057</v>
      </c>
    </row>
    <row r="174">
      <c r="A174" s="126"/>
      <c r="B174" s="126"/>
      <c r="C174" s="126"/>
      <c r="D174" s="126"/>
      <c r="E174" s="126"/>
      <c r="F174" s="126"/>
      <c r="G174" s="126"/>
      <c r="H174" s="242"/>
      <c r="I174" s="242"/>
      <c r="J174" s="242"/>
      <c r="K174" s="242"/>
      <c r="L174" s="242"/>
      <c r="M174" s="242"/>
      <c r="N174" s="242" t="s">
        <v>101</v>
      </c>
      <c r="O174" s="165">
        <f t="shared" ref="O174:Q174" si="16">sum(O168:O173)</f>
        <v>8</v>
      </c>
      <c r="P174" s="165">
        <f t="shared" si="16"/>
        <v>48</v>
      </c>
      <c r="Q174" s="165">
        <f t="shared" si="16"/>
        <v>0</v>
      </c>
      <c r="R174" s="126"/>
      <c r="S174" s="210"/>
      <c r="T174" s="210"/>
    </row>
    <row r="175">
      <c r="A175" s="166"/>
      <c r="B175" s="166"/>
      <c r="C175" s="166"/>
      <c r="D175" s="166"/>
      <c r="E175" s="166"/>
      <c r="F175" s="166"/>
      <c r="G175" s="166"/>
      <c r="H175" s="276"/>
      <c r="I175" s="276"/>
      <c r="J175" s="276"/>
      <c r="K175" s="276"/>
      <c r="L175" s="276"/>
      <c r="M175" s="276"/>
      <c r="N175" s="276"/>
      <c r="O175" s="166"/>
      <c r="P175" s="278"/>
      <c r="Q175" s="278"/>
      <c r="R175" s="166"/>
      <c r="S175" s="433"/>
      <c r="T175" s="433"/>
    </row>
    <row r="176">
      <c r="A176" s="152"/>
      <c r="B176" s="152"/>
      <c r="C176" s="152" t="s">
        <v>1855</v>
      </c>
      <c r="T176" s="591"/>
    </row>
    <row r="177">
      <c r="A177" s="534"/>
      <c r="B177" s="534"/>
      <c r="C177" s="534" t="s">
        <v>2058</v>
      </c>
      <c r="T177" s="206"/>
    </row>
    <row r="178">
      <c r="A178" s="28"/>
      <c r="B178" s="28"/>
      <c r="C178" s="28" t="s">
        <v>41</v>
      </c>
      <c r="D178" s="28"/>
      <c r="E178" s="28"/>
      <c r="F178" s="28"/>
      <c r="G178" s="28"/>
      <c r="H178" s="28"/>
      <c r="I178" s="28"/>
      <c r="J178" s="28"/>
      <c r="K178" s="28"/>
      <c r="L178" s="28" t="s">
        <v>42</v>
      </c>
      <c r="M178" s="29" t="s">
        <v>43</v>
      </c>
      <c r="N178" s="28" t="s">
        <v>46</v>
      </c>
      <c r="O178" s="29" t="s">
        <v>47</v>
      </c>
      <c r="P178" s="29" t="s">
        <v>48</v>
      </c>
      <c r="Q178" s="29" t="s">
        <v>49</v>
      </c>
      <c r="R178" s="29" t="s">
        <v>50</v>
      </c>
      <c r="S178" s="29" t="s">
        <v>51</v>
      </c>
      <c r="T178" s="157" t="s">
        <v>2059</v>
      </c>
    </row>
    <row r="179">
      <c r="A179" s="644"/>
      <c r="B179" s="611">
        <v>9.0</v>
      </c>
      <c r="C179" s="644" t="s">
        <v>504</v>
      </c>
      <c r="D179" s="644"/>
      <c r="E179" s="644"/>
      <c r="F179" s="644"/>
      <c r="G179" s="644"/>
      <c r="H179" s="175"/>
      <c r="I179" s="175"/>
      <c r="J179" s="175"/>
      <c r="K179" s="175"/>
      <c r="L179" s="175">
        <v>1.30202E7</v>
      </c>
      <c r="M179" s="338" t="b">
        <v>1</v>
      </c>
      <c r="N179" s="27" t="s">
        <v>58</v>
      </c>
      <c r="O179" s="37">
        <v>1.0</v>
      </c>
      <c r="P179" s="470">
        <v>24.0</v>
      </c>
      <c r="Q179" s="470"/>
      <c r="R179" s="232" t="s">
        <v>2028</v>
      </c>
      <c r="S179" s="232" t="s">
        <v>2029</v>
      </c>
      <c r="T179" s="210"/>
    </row>
    <row r="180">
      <c r="A180" s="611"/>
      <c r="B180" s="611">
        <v>9.0</v>
      </c>
      <c r="C180" s="611" t="s">
        <v>1653</v>
      </c>
      <c r="D180" s="611"/>
      <c r="E180" s="611"/>
      <c r="F180" s="611"/>
      <c r="G180" s="611"/>
      <c r="H180" s="431"/>
      <c r="I180" s="431"/>
      <c r="J180" s="431"/>
      <c r="K180" s="431"/>
      <c r="L180" s="431">
        <v>1.30203E7</v>
      </c>
      <c r="M180" s="338" t="b">
        <v>1</v>
      </c>
      <c r="N180" s="27" t="s">
        <v>71</v>
      </c>
      <c r="O180" s="37">
        <v>1.0</v>
      </c>
      <c r="P180" s="470">
        <v>24.0</v>
      </c>
      <c r="Q180" s="470"/>
      <c r="R180" s="232" t="s">
        <v>2030</v>
      </c>
      <c r="S180" s="232" t="s">
        <v>2031</v>
      </c>
      <c r="T180" s="210"/>
    </row>
    <row r="181">
      <c r="A181" s="645"/>
      <c r="B181" s="643">
        <v>10.0</v>
      </c>
      <c r="C181" s="642" t="s">
        <v>2032</v>
      </c>
      <c r="D181" s="645"/>
      <c r="E181" s="645"/>
      <c r="F181" s="645"/>
      <c r="G181" s="645"/>
      <c r="H181" s="431"/>
      <c r="I181" s="431"/>
      <c r="J181" s="431"/>
      <c r="K181" s="431"/>
      <c r="L181" s="431" t="s">
        <v>2033</v>
      </c>
      <c r="M181" s="338" t="b">
        <v>1</v>
      </c>
      <c r="N181" s="27" t="s">
        <v>82</v>
      </c>
      <c r="O181" s="37">
        <v>2.0</v>
      </c>
      <c r="P181" s="470">
        <v>0.0</v>
      </c>
      <c r="Q181" s="470"/>
      <c r="R181" s="232" t="s">
        <v>2034</v>
      </c>
      <c r="S181" s="232" t="s">
        <v>2035</v>
      </c>
      <c r="T181" s="210"/>
    </row>
    <row r="182">
      <c r="A182" s="645"/>
      <c r="B182" s="643">
        <v>10.0</v>
      </c>
      <c r="C182" s="642" t="s">
        <v>2036</v>
      </c>
      <c r="D182" s="645"/>
      <c r="E182" s="645"/>
      <c r="F182" s="645"/>
      <c r="G182" s="645"/>
      <c r="H182" s="431"/>
      <c r="I182" s="431"/>
      <c r="J182" s="431"/>
      <c r="K182" s="431"/>
      <c r="L182" s="431"/>
      <c r="M182" s="338" t="b">
        <v>0</v>
      </c>
      <c r="N182" s="27"/>
      <c r="O182" s="37"/>
      <c r="P182" s="470"/>
      <c r="Q182" s="470"/>
      <c r="R182" s="232"/>
      <c r="S182" s="232"/>
      <c r="T182" s="210"/>
    </row>
    <row r="183">
      <c r="A183" s="611"/>
      <c r="B183" s="611">
        <v>11.0</v>
      </c>
      <c r="C183" s="611" t="s">
        <v>2060</v>
      </c>
      <c r="D183" s="611"/>
      <c r="E183" s="611"/>
      <c r="F183" s="611"/>
      <c r="G183" s="611"/>
      <c r="H183" s="431"/>
      <c r="I183" s="431"/>
      <c r="J183" s="431"/>
      <c r="K183" s="431"/>
      <c r="L183" s="431">
        <v>1.30205E7</v>
      </c>
      <c r="M183" s="338" t="b">
        <v>1</v>
      </c>
      <c r="N183" s="27" t="s">
        <v>96</v>
      </c>
      <c r="O183" s="37">
        <v>2.0</v>
      </c>
      <c r="P183" s="470">
        <v>0.0</v>
      </c>
      <c r="Q183" s="43"/>
      <c r="R183" s="232"/>
      <c r="S183" s="206"/>
      <c r="T183" s="210"/>
    </row>
    <row r="184">
      <c r="A184" s="611"/>
      <c r="B184" s="611">
        <v>12.0</v>
      </c>
      <c r="C184" s="611" t="s">
        <v>2061</v>
      </c>
      <c r="D184" s="611"/>
      <c r="E184" s="611"/>
      <c r="F184" s="611"/>
      <c r="G184" s="611"/>
      <c r="H184" s="431"/>
      <c r="I184" s="431"/>
      <c r="J184" s="431"/>
      <c r="K184" s="431"/>
      <c r="L184" s="431">
        <v>1.302051E7</v>
      </c>
      <c r="M184" s="338" t="b">
        <v>1</v>
      </c>
      <c r="N184" s="27" t="s">
        <v>96</v>
      </c>
      <c r="O184" s="37">
        <v>2.0</v>
      </c>
      <c r="P184" s="470">
        <v>0.0</v>
      </c>
      <c r="Q184" s="470"/>
      <c r="R184" s="232"/>
      <c r="S184" s="206"/>
      <c r="T184" s="303" t="s">
        <v>2057</v>
      </c>
    </row>
    <row r="185">
      <c r="A185" s="126"/>
      <c r="B185" s="126"/>
      <c r="C185" s="126"/>
      <c r="D185" s="126"/>
      <c r="E185" s="126"/>
      <c r="F185" s="126"/>
      <c r="G185" s="126"/>
      <c r="H185" s="242"/>
      <c r="I185" s="242"/>
      <c r="J185" s="242"/>
      <c r="K185" s="242"/>
      <c r="L185" s="242"/>
      <c r="M185" s="242"/>
      <c r="N185" s="242" t="s">
        <v>101</v>
      </c>
      <c r="O185" s="165">
        <f t="shared" ref="O185:Q185" si="17">sum(O179:O184)</f>
        <v>8</v>
      </c>
      <c r="P185" s="165">
        <f t="shared" si="17"/>
        <v>48</v>
      </c>
      <c r="Q185" s="165">
        <f t="shared" si="17"/>
        <v>0</v>
      </c>
      <c r="R185" s="126"/>
      <c r="S185" s="210"/>
      <c r="T185" s="210"/>
    </row>
    <row r="186">
      <c r="A186" s="166"/>
      <c r="B186" s="166"/>
      <c r="C186" s="166"/>
      <c r="D186" s="166"/>
      <c r="E186" s="166"/>
      <c r="F186" s="166"/>
      <c r="G186" s="166"/>
      <c r="H186" s="276"/>
      <c r="I186" s="276"/>
      <c r="J186" s="276"/>
      <c r="K186" s="276"/>
      <c r="L186" s="276"/>
      <c r="M186" s="276"/>
      <c r="N186" s="276"/>
      <c r="O186" s="166"/>
      <c r="P186" s="278"/>
      <c r="Q186" s="278"/>
      <c r="R186" s="166"/>
      <c r="S186" s="433"/>
      <c r="T186" s="433"/>
    </row>
    <row r="187">
      <c r="A187" s="152"/>
      <c r="B187" s="152"/>
      <c r="C187" s="152" t="s">
        <v>1867</v>
      </c>
      <c r="T187" s="591"/>
    </row>
    <row r="188">
      <c r="A188" s="641"/>
      <c r="B188" s="641"/>
      <c r="C188" s="641" t="s">
        <v>1868</v>
      </c>
      <c r="T188" s="206"/>
    </row>
    <row r="189">
      <c r="A189" s="28"/>
      <c r="B189" s="28"/>
      <c r="C189" s="28" t="s">
        <v>41</v>
      </c>
      <c r="D189" s="28"/>
      <c r="E189" s="28"/>
      <c r="F189" s="28"/>
      <c r="G189" s="28"/>
      <c r="H189" s="28"/>
      <c r="I189" s="28"/>
      <c r="J189" s="28"/>
      <c r="K189" s="28"/>
      <c r="L189" s="28" t="s">
        <v>42</v>
      </c>
      <c r="M189" s="29" t="s">
        <v>43</v>
      </c>
      <c r="N189" s="28" t="s">
        <v>46</v>
      </c>
      <c r="O189" s="29" t="s">
        <v>47</v>
      </c>
      <c r="P189" s="29" t="s">
        <v>48</v>
      </c>
      <c r="Q189" s="29" t="s">
        <v>49</v>
      </c>
      <c r="R189" s="29" t="s">
        <v>50</v>
      </c>
      <c r="S189" s="29" t="s">
        <v>51</v>
      </c>
      <c r="T189" s="157" t="s">
        <v>2062</v>
      </c>
    </row>
    <row r="190">
      <c r="A190" s="562"/>
      <c r="B190" s="557">
        <v>9.0</v>
      </c>
      <c r="C190" s="562" t="s">
        <v>197</v>
      </c>
      <c r="D190" s="562"/>
      <c r="E190" s="562"/>
      <c r="F190" s="562"/>
      <c r="G190" s="562"/>
      <c r="H190" s="202"/>
      <c r="I190" s="202"/>
      <c r="J190" s="202"/>
      <c r="K190" s="202"/>
      <c r="L190" s="202">
        <v>1.302255E7</v>
      </c>
      <c r="M190" s="338" t="b">
        <v>1</v>
      </c>
      <c r="N190" s="27" t="s">
        <v>58</v>
      </c>
      <c r="O190" s="338">
        <v>1.0</v>
      </c>
      <c r="P190" s="470">
        <v>0.0</v>
      </c>
      <c r="Q190" s="470"/>
      <c r="R190" s="232"/>
      <c r="S190" s="232"/>
      <c r="T190" s="210"/>
    </row>
    <row r="191">
      <c r="A191" s="562"/>
      <c r="B191" s="557">
        <v>9.0</v>
      </c>
      <c r="C191" s="562" t="s">
        <v>194</v>
      </c>
      <c r="D191" s="562"/>
      <c r="E191" s="562"/>
      <c r="F191" s="562"/>
      <c r="G191" s="562"/>
      <c r="H191" s="510"/>
      <c r="I191" s="510"/>
      <c r="J191" s="510"/>
      <c r="K191" s="510"/>
      <c r="L191" s="510">
        <v>1.30226E7</v>
      </c>
      <c r="M191" s="338" t="b">
        <v>1</v>
      </c>
      <c r="N191" s="27" t="s">
        <v>71</v>
      </c>
      <c r="O191" s="338">
        <v>2.0</v>
      </c>
      <c r="P191" s="470">
        <v>15.0</v>
      </c>
      <c r="Q191" s="470"/>
      <c r="R191" s="232" t="s">
        <v>1872</v>
      </c>
      <c r="S191" s="232" t="s">
        <v>1874</v>
      </c>
      <c r="T191" s="210"/>
    </row>
    <row r="192">
      <c r="A192" s="562"/>
      <c r="B192" s="557">
        <v>10.0</v>
      </c>
      <c r="C192" s="562" t="s">
        <v>204</v>
      </c>
      <c r="D192" s="562"/>
      <c r="E192" s="562"/>
      <c r="F192" s="562"/>
      <c r="G192" s="562"/>
      <c r="H192" s="510"/>
      <c r="I192" s="510"/>
      <c r="J192" s="510"/>
      <c r="K192" s="510"/>
      <c r="L192" s="510">
        <v>1.302265E7</v>
      </c>
      <c r="M192" s="338" t="b">
        <v>1</v>
      </c>
      <c r="N192" s="27" t="s">
        <v>82</v>
      </c>
      <c r="O192" s="338">
        <v>2.0</v>
      </c>
      <c r="P192" s="470">
        <v>15.0</v>
      </c>
      <c r="Q192" s="470"/>
      <c r="R192" s="232" t="s">
        <v>1872</v>
      </c>
      <c r="S192" s="232" t="s">
        <v>1874</v>
      </c>
      <c r="T192" s="210"/>
    </row>
    <row r="193">
      <c r="A193" s="562"/>
      <c r="B193" s="557">
        <v>11.0</v>
      </c>
      <c r="C193" s="562" t="s">
        <v>211</v>
      </c>
      <c r="D193" s="562"/>
      <c r="E193" s="562"/>
      <c r="F193" s="562"/>
      <c r="G193" s="562"/>
      <c r="H193" s="510"/>
      <c r="I193" s="510"/>
      <c r="J193" s="510"/>
      <c r="K193" s="510"/>
      <c r="L193" s="510">
        <v>1.30227E7</v>
      </c>
      <c r="M193" s="338" t="b">
        <v>1</v>
      </c>
      <c r="N193" s="27" t="s">
        <v>96</v>
      </c>
      <c r="O193" s="338">
        <v>2.0</v>
      </c>
      <c r="P193" s="470">
        <v>15.0</v>
      </c>
      <c r="Q193" s="470"/>
      <c r="R193" s="232" t="s">
        <v>1872</v>
      </c>
      <c r="S193" s="232" t="s">
        <v>1874</v>
      </c>
      <c r="T193" s="303" t="s">
        <v>213</v>
      </c>
    </row>
    <row r="194">
      <c r="A194" s="557"/>
      <c r="B194" s="557">
        <v>12.0</v>
      </c>
      <c r="C194" s="557" t="s">
        <v>1876</v>
      </c>
      <c r="D194" s="557"/>
      <c r="E194" s="557"/>
      <c r="F194" s="557"/>
      <c r="G194" s="557"/>
      <c r="H194" s="646"/>
      <c r="I194" s="646"/>
      <c r="J194" s="646"/>
      <c r="K194" s="646"/>
      <c r="L194" s="646">
        <v>1.302271E7</v>
      </c>
      <c r="M194" s="338" t="b">
        <v>1</v>
      </c>
      <c r="N194" s="27" t="s">
        <v>96</v>
      </c>
      <c r="O194" s="338">
        <v>2.0</v>
      </c>
      <c r="P194" s="470">
        <v>15.0</v>
      </c>
      <c r="Q194" s="470"/>
      <c r="R194" s="232" t="s">
        <v>1872</v>
      </c>
      <c r="S194" s="232" t="s">
        <v>1874</v>
      </c>
      <c r="T194" s="303"/>
    </row>
    <row r="195">
      <c r="A195" s="126"/>
      <c r="B195" s="126"/>
      <c r="C195" s="126"/>
      <c r="D195" s="126"/>
      <c r="E195" s="126"/>
      <c r="F195" s="126"/>
      <c r="G195" s="126"/>
      <c r="H195" s="242"/>
      <c r="I195" s="242"/>
      <c r="J195" s="242"/>
      <c r="K195" s="242"/>
      <c r="L195" s="242"/>
      <c r="M195" s="242"/>
      <c r="N195" s="242" t="s">
        <v>101</v>
      </c>
      <c r="O195" s="165">
        <f t="shared" ref="O195:P195" si="18">sum(O190:O194)</f>
        <v>9</v>
      </c>
      <c r="P195" s="165">
        <f t="shared" si="18"/>
        <v>60</v>
      </c>
      <c r="Q195" s="165">
        <f>sum(Q190:Q193)</f>
        <v>0</v>
      </c>
      <c r="R195" s="126"/>
      <c r="S195" s="210"/>
      <c r="T195" s="210"/>
    </row>
    <row r="196">
      <c r="A196" s="166"/>
      <c r="B196" s="166"/>
      <c r="C196" s="166"/>
      <c r="D196" s="166"/>
      <c r="E196" s="166"/>
      <c r="F196" s="166"/>
      <c r="G196" s="166"/>
      <c r="H196" s="276"/>
      <c r="I196" s="276"/>
      <c r="J196" s="276"/>
      <c r="K196" s="276"/>
      <c r="L196" s="276"/>
      <c r="M196" s="276"/>
      <c r="N196" s="276"/>
      <c r="O196" s="166"/>
      <c r="P196" s="278"/>
      <c r="Q196" s="278"/>
      <c r="R196" s="166"/>
      <c r="S196" s="433"/>
      <c r="T196" s="433"/>
    </row>
    <row r="197">
      <c r="A197" s="152"/>
      <c r="B197" s="152"/>
      <c r="C197" s="152" t="s">
        <v>1881</v>
      </c>
      <c r="T197" s="591"/>
    </row>
    <row r="198">
      <c r="A198" s="647"/>
      <c r="B198" s="647"/>
      <c r="C198" s="647" t="s">
        <v>1882</v>
      </c>
      <c r="T198" s="206"/>
    </row>
    <row r="199">
      <c r="A199" s="28"/>
      <c r="B199" s="28"/>
      <c r="C199" s="28" t="s">
        <v>41</v>
      </c>
      <c r="D199" s="28"/>
      <c r="E199" s="28"/>
      <c r="F199" s="28"/>
      <c r="G199" s="28"/>
      <c r="H199" s="28"/>
      <c r="I199" s="28"/>
      <c r="J199" s="28"/>
      <c r="K199" s="28"/>
      <c r="L199" s="28" t="s">
        <v>42</v>
      </c>
      <c r="M199" s="29" t="s">
        <v>43</v>
      </c>
      <c r="N199" s="28" t="s">
        <v>46</v>
      </c>
      <c r="O199" s="29" t="s">
        <v>47</v>
      </c>
      <c r="P199" s="29" t="s">
        <v>48</v>
      </c>
      <c r="Q199" s="29" t="s">
        <v>49</v>
      </c>
      <c r="R199" s="29" t="s">
        <v>50</v>
      </c>
      <c r="S199" s="29" t="s">
        <v>51</v>
      </c>
      <c r="T199" s="157" t="s">
        <v>2063</v>
      </c>
    </row>
    <row r="200">
      <c r="A200" s="562"/>
      <c r="B200" s="562"/>
      <c r="C200" s="648" t="s">
        <v>1678</v>
      </c>
      <c r="D200" s="562"/>
      <c r="E200" s="562"/>
      <c r="F200" s="562"/>
      <c r="G200" s="562"/>
      <c r="H200" s="202"/>
      <c r="I200" s="202"/>
      <c r="J200" s="202"/>
      <c r="K200" s="202"/>
      <c r="L200" s="202">
        <v>1.30322E7</v>
      </c>
      <c r="M200" s="338" t="b">
        <v>1</v>
      </c>
      <c r="N200" s="27" t="s">
        <v>58</v>
      </c>
      <c r="O200" s="338">
        <v>1.0</v>
      </c>
      <c r="P200" s="470">
        <v>0.0</v>
      </c>
      <c r="Q200" s="470"/>
      <c r="R200" s="232" t="s">
        <v>1636</v>
      </c>
      <c r="S200" s="232"/>
      <c r="T200" s="594" t="s">
        <v>1930</v>
      </c>
    </row>
    <row r="201">
      <c r="A201" s="562"/>
      <c r="B201" s="562"/>
      <c r="C201" s="648" t="s">
        <v>1885</v>
      </c>
      <c r="D201" s="562"/>
      <c r="E201" s="562"/>
      <c r="F201" s="562"/>
      <c r="G201" s="562"/>
      <c r="H201" s="510"/>
      <c r="I201" s="510"/>
      <c r="J201" s="510"/>
      <c r="K201" s="510"/>
      <c r="L201" s="510">
        <v>1.3037E7</v>
      </c>
      <c r="M201" s="338" t="b">
        <v>1</v>
      </c>
      <c r="N201" s="27" t="s">
        <v>71</v>
      </c>
      <c r="O201" s="338">
        <v>1.0</v>
      </c>
      <c r="P201" s="470">
        <v>30.0</v>
      </c>
      <c r="Q201" s="470"/>
      <c r="R201" s="232" t="s">
        <v>1884</v>
      </c>
      <c r="S201" s="232"/>
      <c r="T201" s="303" t="s">
        <v>1601</v>
      </c>
    </row>
    <row r="202">
      <c r="A202" s="562"/>
      <c r="B202" s="562"/>
      <c r="C202" s="648" t="s">
        <v>1602</v>
      </c>
      <c r="D202" s="562"/>
      <c r="E202" s="562"/>
      <c r="F202" s="562"/>
      <c r="G202" s="562"/>
      <c r="H202" s="510"/>
      <c r="I202" s="510"/>
      <c r="J202" s="510"/>
      <c r="K202" s="510"/>
      <c r="L202" s="510">
        <v>1.303705E7</v>
      </c>
      <c r="M202" s="338" t="b">
        <v>1</v>
      </c>
      <c r="N202" s="27" t="s">
        <v>82</v>
      </c>
      <c r="O202" s="338">
        <v>1.0</v>
      </c>
      <c r="P202" s="470">
        <v>0.0</v>
      </c>
      <c r="Q202" s="470"/>
      <c r="R202" s="232" t="s">
        <v>1884</v>
      </c>
      <c r="S202" s="232"/>
      <c r="T202" s="594" t="s">
        <v>2064</v>
      </c>
    </row>
    <row r="203">
      <c r="A203" s="562"/>
      <c r="B203" s="562"/>
      <c r="C203" s="648" t="s">
        <v>1886</v>
      </c>
      <c r="D203" s="562"/>
      <c r="E203" s="562"/>
      <c r="F203" s="562"/>
      <c r="G203" s="562"/>
      <c r="H203" s="510"/>
      <c r="I203" s="510"/>
      <c r="J203" s="510"/>
      <c r="K203" s="510"/>
      <c r="L203" s="510">
        <v>1.3033E7</v>
      </c>
      <c r="M203" s="338" t="b">
        <v>1</v>
      </c>
      <c r="N203" s="27" t="s">
        <v>96</v>
      </c>
      <c r="O203" s="338">
        <v>2.0</v>
      </c>
      <c r="P203" s="470">
        <v>0.0</v>
      </c>
      <c r="Q203" s="470"/>
      <c r="R203" s="232" t="s">
        <v>1636</v>
      </c>
      <c r="S203" s="206"/>
      <c r="T203" s="210"/>
    </row>
    <row r="204">
      <c r="A204" s="126"/>
      <c r="B204" s="126"/>
      <c r="C204" s="126"/>
      <c r="D204" s="126"/>
      <c r="E204" s="126"/>
      <c r="F204" s="126"/>
      <c r="G204" s="126"/>
      <c r="H204" s="242"/>
      <c r="I204" s="242"/>
      <c r="J204" s="242"/>
      <c r="K204" s="242"/>
      <c r="L204" s="242"/>
      <c r="M204" s="242"/>
      <c r="N204" s="242" t="s">
        <v>101</v>
      </c>
      <c r="O204" s="165">
        <f t="shared" ref="O204:Q204" si="19">sum(O200:O203)</f>
        <v>5</v>
      </c>
      <c r="P204" s="165">
        <f t="shared" si="19"/>
        <v>30</v>
      </c>
      <c r="Q204" s="165">
        <f t="shared" si="19"/>
        <v>0</v>
      </c>
      <c r="R204" s="126"/>
      <c r="S204" s="210"/>
      <c r="T204" s="210"/>
    </row>
    <row r="205">
      <c r="A205" s="166"/>
      <c r="B205" s="166"/>
      <c r="C205" s="166"/>
      <c r="D205" s="166"/>
      <c r="E205" s="166"/>
      <c r="F205" s="166"/>
      <c r="G205" s="166"/>
      <c r="H205" s="276"/>
      <c r="I205" s="276"/>
      <c r="J205" s="276"/>
      <c r="K205" s="276"/>
      <c r="L205" s="276"/>
      <c r="M205" s="276"/>
      <c r="N205" s="276"/>
      <c r="O205" s="166"/>
      <c r="P205" s="278"/>
      <c r="Q205" s="278"/>
      <c r="R205" s="166"/>
      <c r="S205" s="433"/>
      <c r="T205" s="433"/>
    </row>
    <row r="206" ht="15.0" customHeight="1">
      <c r="A206" s="152"/>
      <c r="B206" s="152"/>
      <c r="C206" s="152" t="s">
        <v>1890</v>
      </c>
      <c r="T206" s="591"/>
    </row>
    <row r="207">
      <c r="A207" s="565"/>
      <c r="B207" s="565"/>
      <c r="C207" s="565" t="s">
        <v>2065</v>
      </c>
      <c r="S207" s="423"/>
      <c r="T207" s="206"/>
    </row>
    <row r="208">
      <c r="A208" s="28"/>
      <c r="B208" s="28"/>
      <c r="C208" s="28" t="s">
        <v>41</v>
      </c>
      <c r="D208" s="28"/>
      <c r="E208" s="28"/>
      <c r="F208" s="28"/>
      <c r="G208" s="28"/>
      <c r="H208" s="28"/>
      <c r="I208" s="28"/>
      <c r="J208" s="28"/>
      <c r="K208" s="28"/>
      <c r="L208" s="28" t="s">
        <v>42</v>
      </c>
      <c r="M208" s="29" t="s">
        <v>43</v>
      </c>
      <c r="N208" s="28" t="s">
        <v>46</v>
      </c>
      <c r="O208" s="29" t="s">
        <v>47</v>
      </c>
      <c r="P208" s="29" t="s">
        <v>48</v>
      </c>
      <c r="Q208" s="29" t="s">
        <v>49</v>
      </c>
      <c r="R208" s="29" t="s">
        <v>50</v>
      </c>
      <c r="S208" s="29" t="s">
        <v>51</v>
      </c>
      <c r="T208" s="157" t="s">
        <v>2066</v>
      </c>
    </row>
    <row r="209">
      <c r="A209" s="323"/>
      <c r="B209" s="323">
        <v>9.0</v>
      </c>
      <c r="C209" s="323" t="s">
        <v>1499</v>
      </c>
      <c r="D209" s="323">
        <v>9.0</v>
      </c>
      <c r="E209" s="323" t="s">
        <v>1499</v>
      </c>
      <c r="F209" s="323"/>
      <c r="G209" s="323"/>
      <c r="H209" s="27"/>
      <c r="I209" s="27"/>
      <c r="J209" s="27"/>
      <c r="K209" s="27"/>
      <c r="L209" s="27">
        <v>1.300422E7</v>
      </c>
      <c r="M209" s="338" t="b">
        <v>1</v>
      </c>
      <c r="N209" s="27" t="s">
        <v>58</v>
      </c>
      <c r="O209" s="37">
        <v>1.0</v>
      </c>
      <c r="P209" s="470">
        <v>25.0</v>
      </c>
      <c r="Q209" s="470"/>
      <c r="R209" s="232" t="s">
        <v>1614</v>
      </c>
      <c r="S209" s="232" t="s">
        <v>1564</v>
      </c>
      <c r="T209" s="303" t="s">
        <v>1526</v>
      </c>
    </row>
    <row r="210">
      <c r="A210" s="323"/>
      <c r="B210" s="323"/>
      <c r="C210" s="323" t="s">
        <v>2067</v>
      </c>
      <c r="D210" s="323">
        <v>10.0</v>
      </c>
      <c r="E210" s="323" t="s">
        <v>2068</v>
      </c>
      <c r="F210" s="323"/>
      <c r="G210" s="323"/>
      <c r="H210" s="27"/>
      <c r="I210" s="27"/>
      <c r="J210" s="27"/>
      <c r="K210" s="27"/>
      <c r="L210" s="27">
        <v>1.30051E7</v>
      </c>
      <c r="M210" s="338" t="b">
        <v>1</v>
      </c>
      <c r="N210" s="27" t="s">
        <v>71</v>
      </c>
      <c r="O210" s="37">
        <v>2.0</v>
      </c>
      <c r="P210" s="470">
        <v>5.0</v>
      </c>
      <c r="Q210" s="470"/>
      <c r="R210" s="232" t="s">
        <v>1614</v>
      </c>
      <c r="S210" s="232" t="s">
        <v>1564</v>
      </c>
      <c r="T210" s="303" t="s">
        <v>2069</v>
      </c>
    </row>
    <row r="211">
      <c r="A211" s="296"/>
      <c r="B211" s="296"/>
      <c r="C211" s="296" t="s">
        <v>1892</v>
      </c>
      <c r="D211" s="296">
        <v>11.0</v>
      </c>
      <c r="E211" s="323" t="s">
        <v>2070</v>
      </c>
      <c r="F211" s="296"/>
      <c r="G211" s="296"/>
      <c r="H211" s="27"/>
      <c r="I211" s="27"/>
      <c r="J211" s="27"/>
      <c r="K211" s="27"/>
      <c r="L211" s="27">
        <v>1.30056E7</v>
      </c>
      <c r="M211" s="338" t="b">
        <v>1</v>
      </c>
      <c r="N211" s="27" t="s">
        <v>71</v>
      </c>
      <c r="O211" s="37">
        <v>1.0</v>
      </c>
      <c r="P211" s="470">
        <v>0.0</v>
      </c>
      <c r="Q211" s="470"/>
      <c r="R211" s="232" t="s">
        <v>1614</v>
      </c>
      <c r="S211" s="232" t="s">
        <v>1564</v>
      </c>
      <c r="T211" s="303" t="s">
        <v>2069</v>
      </c>
    </row>
    <row r="212">
      <c r="A212" s="296"/>
      <c r="B212" s="296"/>
      <c r="C212" s="296" t="s">
        <v>1904</v>
      </c>
      <c r="D212" s="296">
        <v>12.0</v>
      </c>
      <c r="E212" s="296" t="s">
        <v>2071</v>
      </c>
      <c r="F212" s="296"/>
      <c r="G212" s="296"/>
      <c r="H212" s="27"/>
      <c r="I212" s="27"/>
      <c r="J212" s="27"/>
      <c r="K212" s="27"/>
      <c r="L212" s="27">
        <v>1.30058E7</v>
      </c>
      <c r="M212" s="338" t="b">
        <v>1</v>
      </c>
      <c r="N212" s="27" t="s">
        <v>71</v>
      </c>
      <c r="O212" s="37">
        <v>1.0</v>
      </c>
      <c r="P212" s="470">
        <v>0.0</v>
      </c>
      <c r="Q212" s="470"/>
      <c r="R212" s="232"/>
      <c r="S212" s="232"/>
      <c r="T212" s="210"/>
    </row>
    <row r="213">
      <c r="A213" s="296"/>
      <c r="B213" s="296"/>
      <c r="C213" s="296" t="s">
        <v>2071</v>
      </c>
      <c r="D213" s="296"/>
      <c r="E213" s="306"/>
      <c r="F213" s="296"/>
      <c r="G213" s="296"/>
      <c r="H213" s="232"/>
      <c r="I213" s="232"/>
      <c r="J213" s="232"/>
      <c r="K213" s="232"/>
      <c r="L213" s="232">
        <v>1.27013E7</v>
      </c>
      <c r="M213" s="338" t="b">
        <v>1</v>
      </c>
      <c r="N213" s="27" t="s">
        <v>96</v>
      </c>
      <c r="O213" s="37">
        <v>2.0</v>
      </c>
      <c r="P213" s="470">
        <v>0.0</v>
      </c>
      <c r="Q213" s="470"/>
      <c r="R213" s="232"/>
      <c r="S213" s="206"/>
      <c r="T213" s="210"/>
    </row>
    <row r="214">
      <c r="A214" s="126"/>
      <c r="B214" s="126"/>
      <c r="C214" s="126"/>
      <c r="D214" s="126"/>
      <c r="E214" s="126"/>
      <c r="F214" s="126"/>
      <c r="G214" s="126"/>
      <c r="H214" s="242"/>
      <c r="I214" s="242"/>
      <c r="J214" s="242"/>
      <c r="K214" s="242"/>
      <c r="L214" s="242"/>
      <c r="M214" s="242"/>
      <c r="N214" s="242" t="s">
        <v>101</v>
      </c>
      <c r="O214" s="165">
        <f>sum(O210:O213)</f>
        <v>6</v>
      </c>
      <c r="P214" s="165">
        <f t="shared" ref="P214:Q214" si="20">SUM(P209:P213)</f>
        <v>30</v>
      </c>
      <c r="Q214" s="165">
        <f t="shared" si="20"/>
        <v>0</v>
      </c>
      <c r="R214" s="126"/>
      <c r="S214" s="210"/>
      <c r="T214" s="210"/>
    </row>
    <row r="215">
      <c r="A215" s="166"/>
      <c r="B215" s="166"/>
      <c r="C215" s="166"/>
      <c r="D215" s="166"/>
      <c r="E215" s="166"/>
      <c r="F215" s="166"/>
      <c r="G215" s="166"/>
      <c r="H215" s="276"/>
      <c r="I215" s="276"/>
      <c r="J215" s="276"/>
      <c r="K215" s="276"/>
      <c r="L215" s="276"/>
      <c r="M215" s="276"/>
      <c r="N215" s="276"/>
      <c r="O215" s="166"/>
      <c r="P215" s="278"/>
      <c r="Q215" s="278"/>
      <c r="R215" s="166"/>
      <c r="S215" s="433"/>
      <c r="T215" s="433"/>
    </row>
  </sheetData>
  <mergeCells count="55">
    <mergeCell ref="C1:S1"/>
    <mergeCell ref="L2:S2"/>
    <mergeCell ref="T2:T3"/>
    <mergeCell ref="L3:S3"/>
    <mergeCell ref="L4:S4"/>
    <mergeCell ref="L5:S5"/>
    <mergeCell ref="T5:T6"/>
    <mergeCell ref="L6:S6"/>
    <mergeCell ref="L7:S7"/>
    <mergeCell ref="C9:S9"/>
    <mergeCell ref="C10:S10"/>
    <mergeCell ref="C18:S18"/>
    <mergeCell ref="C19:S19"/>
    <mergeCell ref="C27:S27"/>
    <mergeCell ref="C28:S28"/>
    <mergeCell ref="C36:S36"/>
    <mergeCell ref="C37:S37"/>
    <mergeCell ref="C45:S45"/>
    <mergeCell ref="C46:S46"/>
    <mergeCell ref="C55:S55"/>
    <mergeCell ref="C56:S56"/>
    <mergeCell ref="C61:D61"/>
    <mergeCell ref="C62:D62"/>
    <mergeCell ref="C65:S65"/>
    <mergeCell ref="C66:S66"/>
    <mergeCell ref="A68:A71"/>
    <mergeCell ref="C70:E70"/>
    <mergeCell ref="C74:S74"/>
    <mergeCell ref="C75:S75"/>
    <mergeCell ref="C83:S83"/>
    <mergeCell ref="C84:S84"/>
    <mergeCell ref="C95:S95"/>
    <mergeCell ref="C96:S96"/>
    <mergeCell ref="C104:S104"/>
    <mergeCell ref="C105:S105"/>
    <mergeCell ref="C113:C114"/>
    <mergeCell ref="I113:I114"/>
    <mergeCell ref="C120:S120"/>
    <mergeCell ref="C121:S121"/>
    <mergeCell ref="C132:S132"/>
    <mergeCell ref="C133:S133"/>
    <mergeCell ref="C143:S143"/>
    <mergeCell ref="C187:S187"/>
    <mergeCell ref="C188:S188"/>
    <mergeCell ref="C197:S197"/>
    <mergeCell ref="C198:S198"/>
    <mergeCell ref="C206:S206"/>
    <mergeCell ref="C207:S207"/>
    <mergeCell ref="C144:S144"/>
    <mergeCell ref="C154:S154"/>
    <mergeCell ref="C155:S155"/>
    <mergeCell ref="C165:S165"/>
    <mergeCell ref="C166:S166"/>
    <mergeCell ref="C176:S176"/>
    <mergeCell ref="C177:S177"/>
  </mergeCells>
  <dataValidations>
    <dataValidation type="list" allowBlank="1" sqref="N12:N15 N21:N24 N30:N33 N39:N42 N48:N52 N58:N62 N68:N71 N77:N80 N86:N92 N98:N101 N107:N114 N123:N129 N135:N140 N146:N151 N157:N162 N168:N173 N179:N184 N190:N194 N200:N203 N209:N213">
      <formula1>'Data Validation'!$A$2:$A$5</formula1>
    </dataValidation>
    <dataValidation type="list" allowBlank="1" sqref="O12:O15 O21:O24 O30:O33 O39:O42 O48:O52 O58:O62 O68:O71 O77:O80 O86:O92 O98:O101 O107:O114 O123:O129 O135:O140 O146:O151 O157:O162 O168:O173 O179:O184 O209:O213">
      <formula1>'Data Validation'!$B$2:$B$4</formula1>
    </dataValidation>
  </dataValidations>
  <hyperlinks>
    <hyperlink r:id="rId1" ref="T2"/>
    <hyperlink r:id="rId2" ref="T4"/>
    <hyperlink r:id="rId3" ref="T5"/>
    <hyperlink display="CLICK HERE FOR UPDATED VERSION WITH ENT OPTION" location="Sheet6!A1" ref="A63"/>
  </hyperlinks>
  <printOptions gridLines="1" horizontalCentered="1"/>
  <pageMargins bottom="0.6" footer="0.0" header="0.0" left="0.15155615696887687" right="0.15155615696887687" top="0.6"/>
  <pageSetup fitToHeight="0" cellComments="atEnd" orientation="landscape" pageOrder="overThenDown"/>
  <drawing r:id="rId4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13.13"/>
    <col customWidth="1" min="3" max="3" width="10.88"/>
    <col customWidth="1" min="4" max="4" width="12.63"/>
    <col customWidth="1" min="5" max="5" width="9.63"/>
    <col customWidth="1" min="6" max="6" width="8.88"/>
    <col customWidth="1" min="7" max="7" width="22.63"/>
    <col customWidth="1" min="8" max="8" width="29.88"/>
    <col customWidth="1" min="9" max="9" width="28.88"/>
  </cols>
  <sheetData>
    <row r="1" ht="66.75" customHeight="1">
      <c r="A1" s="1" t="s">
        <v>1907</v>
      </c>
      <c r="I1" s="2" t="s">
        <v>1</v>
      </c>
    </row>
    <row r="2">
      <c r="A2" s="3" t="s">
        <v>2</v>
      </c>
      <c r="B2" s="5" t="s">
        <v>1909</v>
      </c>
      <c r="I2" s="13" t="s">
        <v>6</v>
      </c>
    </row>
    <row r="3">
      <c r="A3" s="3" t="s">
        <v>14</v>
      </c>
      <c r="B3" s="5" t="s">
        <v>1912</v>
      </c>
    </row>
    <row r="4">
      <c r="A4" s="3" t="s">
        <v>17</v>
      </c>
      <c r="B4" s="5" t="s">
        <v>1336</v>
      </c>
      <c r="I4" s="18" t="s">
        <v>20</v>
      </c>
    </row>
    <row r="5">
      <c r="A5" s="3" t="s">
        <v>26</v>
      </c>
      <c r="B5" s="5"/>
      <c r="I5" s="24" t="s">
        <v>30</v>
      </c>
    </row>
    <row r="6">
      <c r="A6" s="3" t="s">
        <v>34</v>
      </c>
      <c r="B6" s="5"/>
    </row>
    <row r="7">
      <c r="A7" s="3" t="s">
        <v>36</v>
      </c>
      <c r="B7" s="5"/>
      <c r="I7" s="22"/>
    </row>
    <row r="8" ht="7.5" customHeight="1">
      <c r="A8" s="23"/>
      <c r="B8" s="23"/>
      <c r="C8" s="23"/>
      <c r="D8" s="23"/>
      <c r="E8" s="25"/>
      <c r="F8" s="23"/>
      <c r="G8" s="23"/>
      <c r="H8" s="25"/>
      <c r="I8" s="23"/>
    </row>
    <row r="9" ht="18.75" customHeight="1">
      <c r="A9" s="26" t="s">
        <v>1914</v>
      </c>
      <c r="I9" s="26"/>
    </row>
    <row r="10" ht="18.75" customHeight="1">
      <c r="A10" s="27"/>
      <c r="I10" s="27"/>
    </row>
    <row r="11">
      <c r="A11" s="28" t="s">
        <v>41</v>
      </c>
      <c r="B11" s="28" t="s">
        <v>42</v>
      </c>
      <c r="C11" s="29" t="s">
        <v>43</v>
      </c>
      <c r="D11" s="28" t="s">
        <v>46</v>
      </c>
      <c r="E11" s="29" t="s">
        <v>47</v>
      </c>
      <c r="F11" s="29" t="s">
        <v>1082</v>
      </c>
      <c r="G11" s="29" t="s">
        <v>50</v>
      </c>
      <c r="H11" s="29" t="s">
        <v>51</v>
      </c>
      <c r="I11" s="29" t="s">
        <v>1915</v>
      </c>
    </row>
    <row r="12">
      <c r="A12" s="127" t="s">
        <v>53</v>
      </c>
      <c r="B12" s="191"/>
      <c r="C12" s="34" t="b">
        <v>0</v>
      </c>
      <c r="D12" s="27"/>
      <c r="E12" s="37"/>
      <c r="F12" s="37"/>
      <c r="G12" s="85" t="s">
        <v>1920</v>
      </c>
      <c r="H12" s="136"/>
      <c r="I12" s="41"/>
    </row>
    <row r="13">
      <c r="A13" s="241" t="s">
        <v>1921</v>
      </c>
      <c r="B13" s="191">
        <v>1.300114E8</v>
      </c>
      <c r="C13" s="34" t="b">
        <v>0</v>
      </c>
      <c r="D13" s="27" t="s">
        <v>58</v>
      </c>
      <c r="E13" s="37">
        <v>1.0</v>
      </c>
      <c r="F13" s="37">
        <v>25.0</v>
      </c>
      <c r="G13" s="85" t="s">
        <v>1920</v>
      </c>
      <c r="H13" s="136"/>
      <c r="I13" s="45" t="s">
        <v>1922</v>
      </c>
    </row>
    <row r="14">
      <c r="A14" s="34"/>
      <c r="B14" s="34"/>
      <c r="C14" s="34" t="b">
        <v>0</v>
      </c>
      <c r="D14" s="34"/>
      <c r="E14" s="76"/>
      <c r="F14" s="76"/>
      <c r="G14" s="76"/>
      <c r="H14" s="76"/>
      <c r="I14" s="41"/>
    </row>
    <row r="15">
      <c r="A15" s="34"/>
      <c r="B15" s="34"/>
      <c r="C15" s="34" t="b">
        <v>0</v>
      </c>
      <c r="D15" s="34"/>
      <c r="E15" s="76"/>
      <c r="F15" s="76"/>
      <c r="G15" s="76"/>
      <c r="H15" s="76"/>
      <c r="I15" s="41"/>
    </row>
    <row r="16">
      <c r="A16" s="34"/>
      <c r="B16" s="34"/>
      <c r="C16" s="34" t="b">
        <v>0</v>
      </c>
      <c r="D16" s="34"/>
      <c r="E16" s="76"/>
      <c r="F16" s="76"/>
      <c r="G16" s="76"/>
      <c r="H16" s="76"/>
      <c r="I16" s="41"/>
    </row>
    <row r="17">
      <c r="A17" s="34"/>
      <c r="B17" s="34"/>
      <c r="C17" s="34" t="b">
        <v>0</v>
      </c>
      <c r="D17" s="34"/>
      <c r="E17" s="76"/>
      <c r="F17" s="76"/>
      <c r="G17" s="76"/>
      <c r="H17" s="76"/>
      <c r="I17" s="41"/>
    </row>
    <row r="18">
      <c r="A18" s="51"/>
      <c r="B18" s="52"/>
      <c r="C18" s="52"/>
      <c r="D18" s="52" t="s">
        <v>101</v>
      </c>
      <c r="E18" s="54">
        <f t="shared" ref="E18:F18" si="1">sum(E13:E17)</f>
        <v>1</v>
      </c>
      <c r="F18" s="54">
        <f t="shared" si="1"/>
        <v>25</v>
      </c>
      <c r="G18" s="54"/>
      <c r="H18" s="54"/>
      <c r="I18" s="56"/>
    </row>
    <row r="19" ht="7.5" customHeight="1">
      <c r="A19" s="23"/>
      <c r="B19" s="23"/>
      <c r="C19" s="23"/>
      <c r="D19" s="23"/>
      <c r="E19" s="25"/>
      <c r="F19" s="23"/>
      <c r="G19" s="23"/>
      <c r="H19" s="25"/>
      <c r="I19" s="23"/>
    </row>
    <row r="20" ht="18.75" customHeight="1">
      <c r="A20" s="26" t="s">
        <v>135</v>
      </c>
      <c r="I20" s="26"/>
    </row>
    <row r="21" ht="18.75" customHeight="1">
      <c r="A21" s="27"/>
      <c r="I21" s="27"/>
    </row>
    <row r="22">
      <c r="A22" s="28" t="s">
        <v>41</v>
      </c>
      <c r="B22" s="28" t="s">
        <v>42</v>
      </c>
      <c r="C22" s="29" t="s">
        <v>43</v>
      </c>
      <c r="D22" s="28" t="s">
        <v>46</v>
      </c>
      <c r="E22" s="29" t="s">
        <v>47</v>
      </c>
      <c r="F22" s="29" t="s">
        <v>1082</v>
      </c>
      <c r="G22" s="29" t="s">
        <v>50</v>
      </c>
      <c r="H22" s="29" t="s">
        <v>51</v>
      </c>
      <c r="I22" s="29" t="s">
        <v>1929</v>
      </c>
    </row>
    <row r="23">
      <c r="A23" s="34"/>
      <c r="B23" s="34"/>
      <c r="C23" s="34" t="b">
        <v>0</v>
      </c>
      <c r="D23" s="34"/>
      <c r="E23" s="76"/>
      <c r="F23" s="76"/>
      <c r="G23" s="76"/>
      <c r="H23" s="76"/>
      <c r="I23" s="41"/>
    </row>
    <row r="24">
      <c r="A24" s="34"/>
      <c r="B24" s="34"/>
      <c r="C24" s="34" t="b">
        <v>0</v>
      </c>
      <c r="D24" s="34"/>
      <c r="E24" s="76"/>
      <c r="F24" s="76"/>
      <c r="G24" s="76"/>
      <c r="H24" s="76"/>
      <c r="I24" s="41"/>
    </row>
    <row r="25">
      <c r="A25" s="34"/>
      <c r="B25" s="34"/>
      <c r="C25" s="34" t="b">
        <v>0</v>
      </c>
      <c r="D25" s="34"/>
      <c r="E25" s="76"/>
      <c r="F25" s="76"/>
      <c r="G25" s="76"/>
      <c r="H25" s="76"/>
      <c r="I25" s="41"/>
    </row>
    <row r="26">
      <c r="A26" s="34"/>
      <c r="B26" s="34"/>
      <c r="C26" s="34" t="b">
        <v>0</v>
      </c>
      <c r="D26" s="34"/>
      <c r="E26" s="76"/>
      <c r="F26" s="76"/>
      <c r="G26" s="76"/>
      <c r="H26" s="76"/>
      <c r="I26" s="41"/>
    </row>
    <row r="27">
      <c r="A27" s="34"/>
      <c r="B27" s="34"/>
      <c r="C27" s="34" t="b">
        <v>0</v>
      </c>
      <c r="D27" s="34"/>
      <c r="E27" s="76"/>
      <c r="F27" s="76"/>
      <c r="G27" s="76"/>
      <c r="H27" s="76"/>
      <c r="I27" s="41"/>
    </row>
    <row r="28">
      <c r="A28" s="51"/>
      <c r="B28" s="52"/>
      <c r="C28" s="52"/>
      <c r="D28" s="52" t="s">
        <v>101</v>
      </c>
      <c r="E28" s="54">
        <f t="shared" ref="E28:F28" si="2">sum(E23:E27)</f>
        <v>0</v>
      </c>
      <c r="F28" s="54">
        <f t="shared" si="2"/>
        <v>0</v>
      </c>
      <c r="G28" s="54"/>
      <c r="H28" s="54"/>
      <c r="I28" s="56"/>
    </row>
    <row r="29" ht="7.5" customHeight="1">
      <c r="A29" s="23"/>
      <c r="B29" s="23"/>
      <c r="C29" s="23"/>
      <c r="D29" s="23"/>
      <c r="E29" s="25"/>
      <c r="F29" s="23"/>
      <c r="G29" s="23"/>
      <c r="H29" s="25"/>
      <c r="I29" s="23"/>
    </row>
    <row r="30" ht="18.75" customHeight="1">
      <c r="A30" s="26" t="s">
        <v>111</v>
      </c>
      <c r="I30" s="26"/>
    </row>
    <row r="31" ht="18.75" customHeight="1">
      <c r="A31" s="27"/>
      <c r="I31" s="27"/>
    </row>
    <row r="32">
      <c r="A32" s="28" t="s">
        <v>41</v>
      </c>
      <c r="B32" s="28" t="s">
        <v>42</v>
      </c>
      <c r="C32" s="29" t="s">
        <v>43</v>
      </c>
      <c r="D32" s="28" t="s">
        <v>46</v>
      </c>
      <c r="E32" s="29" t="s">
        <v>47</v>
      </c>
      <c r="F32" s="29" t="s">
        <v>1082</v>
      </c>
      <c r="G32" s="29" t="s">
        <v>50</v>
      </c>
      <c r="H32" s="29" t="s">
        <v>51</v>
      </c>
      <c r="I32" s="29" t="s">
        <v>1934</v>
      </c>
    </row>
    <row r="33">
      <c r="A33" s="34"/>
      <c r="B33" s="34"/>
      <c r="C33" s="34" t="b">
        <v>0</v>
      </c>
      <c r="D33" s="34"/>
      <c r="E33" s="76"/>
      <c r="F33" s="76"/>
      <c r="G33" s="76"/>
      <c r="H33" s="76"/>
      <c r="I33" s="41"/>
    </row>
    <row r="34">
      <c r="A34" s="34"/>
      <c r="B34" s="34"/>
      <c r="C34" s="34" t="b">
        <v>0</v>
      </c>
      <c r="D34" s="34"/>
      <c r="E34" s="76"/>
      <c r="F34" s="76"/>
      <c r="G34" s="76"/>
      <c r="H34" s="76"/>
      <c r="I34" s="41"/>
    </row>
    <row r="35">
      <c r="A35" s="34"/>
      <c r="B35" s="34"/>
      <c r="C35" s="34" t="b">
        <v>0</v>
      </c>
      <c r="D35" s="34"/>
      <c r="E35" s="76"/>
      <c r="F35" s="76"/>
      <c r="G35" s="76"/>
      <c r="H35" s="76"/>
      <c r="I35" s="41"/>
    </row>
    <row r="36">
      <c r="A36" s="34"/>
      <c r="B36" s="34"/>
      <c r="C36" s="34" t="b">
        <v>0</v>
      </c>
      <c r="D36" s="34"/>
      <c r="E36" s="76"/>
      <c r="F36" s="76"/>
      <c r="G36" s="76"/>
      <c r="H36" s="76"/>
      <c r="I36" s="41"/>
    </row>
    <row r="37">
      <c r="A37" s="34"/>
      <c r="B37" s="34"/>
      <c r="C37" s="34" t="b">
        <v>0</v>
      </c>
      <c r="D37" s="34"/>
      <c r="E37" s="76"/>
      <c r="F37" s="76"/>
      <c r="G37" s="76"/>
      <c r="H37" s="76"/>
      <c r="I37" s="41"/>
    </row>
    <row r="38">
      <c r="A38" s="51"/>
      <c r="B38" s="52"/>
      <c r="C38" s="52"/>
      <c r="D38" s="52" t="s">
        <v>101</v>
      </c>
      <c r="E38" s="54">
        <f t="shared" ref="E38:F38" si="3">sum(E33:E37)</f>
        <v>0</v>
      </c>
      <c r="F38" s="54">
        <f t="shared" si="3"/>
        <v>0</v>
      </c>
      <c r="G38" s="54"/>
      <c r="H38" s="54"/>
      <c r="I38" s="56"/>
    </row>
    <row r="39" ht="7.5" customHeight="1">
      <c r="A39" s="23"/>
      <c r="B39" s="23"/>
      <c r="C39" s="23"/>
      <c r="D39" s="23"/>
      <c r="E39" s="25"/>
      <c r="F39" s="23"/>
      <c r="G39" s="23"/>
      <c r="H39" s="25"/>
      <c r="I39" s="23"/>
    </row>
    <row r="40" ht="18.75" customHeight="1">
      <c r="A40" s="26" t="s">
        <v>169</v>
      </c>
      <c r="I40" s="26"/>
    </row>
    <row r="41" ht="18.75" customHeight="1">
      <c r="A41" s="27"/>
      <c r="I41" s="27"/>
    </row>
    <row r="42">
      <c r="A42" s="28" t="s">
        <v>41</v>
      </c>
      <c r="B42" s="28" t="s">
        <v>42</v>
      </c>
      <c r="C42" s="29" t="s">
        <v>43</v>
      </c>
      <c r="D42" s="28" t="s">
        <v>46</v>
      </c>
      <c r="E42" s="29" t="s">
        <v>47</v>
      </c>
      <c r="F42" s="29" t="s">
        <v>1082</v>
      </c>
      <c r="G42" s="29" t="s">
        <v>50</v>
      </c>
      <c r="H42" s="29" t="s">
        <v>51</v>
      </c>
      <c r="I42" s="29" t="s">
        <v>1946</v>
      </c>
    </row>
    <row r="43">
      <c r="A43" s="34"/>
      <c r="B43" s="34"/>
      <c r="C43" s="34" t="b">
        <v>0</v>
      </c>
      <c r="D43" s="34"/>
      <c r="E43" s="76"/>
      <c r="F43" s="76"/>
      <c r="G43" s="76"/>
      <c r="H43" s="76"/>
      <c r="I43" s="41"/>
    </row>
    <row r="44">
      <c r="A44" s="34"/>
      <c r="B44" s="34"/>
      <c r="C44" s="34" t="b">
        <v>0</v>
      </c>
      <c r="D44" s="34"/>
      <c r="E44" s="76"/>
      <c r="F44" s="76"/>
      <c r="G44" s="76"/>
      <c r="H44" s="76"/>
      <c r="I44" s="41"/>
    </row>
    <row r="45">
      <c r="A45" s="34"/>
      <c r="B45" s="34"/>
      <c r="C45" s="34" t="b">
        <v>0</v>
      </c>
      <c r="D45" s="34"/>
      <c r="E45" s="76"/>
      <c r="F45" s="76"/>
      <c r="G45" s="76"/>
      <c r="H45" s="76"/>
      <c r="I45" s="41"/>
    </row>
    <row r="46">
      <c r="A46" s="34"/>
      <c r="B46" s="34"/>
      <c r="C46" s="34" t="b">
        <v>0</v>
      </c>
      <c r="D46" s="34"/>
      <c r="E46" s="76"/>
      <c r="F46" s="76"/>
      <c r="G46" s="76"/>
      <c r="H46" s="76"/>
      <c r="I46" s="41"/>
    </row>
    <row r="47">
      <c r="A47" s="34"/>
      <c r="B47" s="34"/>
      <c r="C47" s="34" t="b">
        <v>0</v>
      </c>
      <c r="D47" s="34"/>
      <c r="E47" s="76"/>
      <c r="F47" s="76"/>
      <c r="G47" s="76"/>
      <c r="H47" s="76"/>
      <c r="I47" s="41"/>
    </row>
    <row r="48">
      <c r="A48" s="51"/>
      <c r="B48" s="52"/>
      <c r="C48" s="52"/>
      <c r="D48" s="52" t="s">
        <v>101</v>
      </c>
      <c r="E48" s="54">
        <f t="shared" ref="E48:F48" si="4">sum(E43:E47)</f>
        <v>0</v>
      </c>
      <c r="F48" s="54">
        <f t="shared" si="4"/>
        <v>0</v>
      </c>
      <c r="G48" s="54"/>
      <c r="H48" s="54"/>
      <c r="I48" s="56"/>
    </row>
    <row r="49" ht="7.5" customHeight="1">
      <c r="A49" s="23"/>
      <c r="B49" s="23"/>
      <c r="C49" s="23"/>
      <c r="D49" s="23"/>
      <c r="E49" s="25"/>
      <c r="F49" s="23"/>
      <c r="G49" s="23"/>
      <c r="H49" s="25"/>
      <c r="I49" s="23"/>
    </row>
    <row r="50" ht="18.75" customHeight="1">
      <c r="A50" s="26" t="s">
        <v>205</v>
      </c>
      <c r="I50" s="26"/>
    </row>
    <row r="51" ht="18.75" customHeight="1">
      <c r="A51" s="27"/>
      <c r="I51" s="27"/>
    </row>
    <row r="52">
      <c r="A52" s="28" t="s">
        <v>41</v>
      </c>
      <c r="B52" s="28" t="s">
        <v>42</v>
      </c>
      <c r="C52" s="29" t="s">
        <v>43</v>
      </c>
      <c r="D52" s="28" t="s">
        <v>46</v>
      </c>
      <c r="E52" s="29" t="s">
        <v>47</v>
      </c>
      <c r="F52" s="29" t="s">
        <v>1082</v>
      </c>
      <c r="G52" s="29" t="s">
        <v>50</v>
      </c>
      <c r="H52" s="29" t="s">
        <v>51</v>
      </c>
      <c r="I52" s="29" t="s">
        <v>1951</v>
      </c>
    </row>
    <row r="53">
      <c r="A53" s="34"/>
      <c r="B53" s="34"/>
      <c r="C53" s="34" t="b">
        <v>0</v>
      </c>
      <c r="D53" s="34"/>
      <c r="E53" s="76"/>
      <c r="F53" s="76"/>
      <c r="G53" s="76"/>
      <c r="H53" s="76"/>
      <c r="I53" s="41"/>
    </row>
    <row r="54">
      <c r="A54" s="34"/>
      <c r="B54" s="34"/>
      <c r="C54" s="34" t="b">
        <v>0</v>
      </c>
      <c r="D54" s="34"/>
      <c r="E54" s="76"/>
      <c r="F54" s="37"/>
      <c r="G54" s="37"/>
      <c r="H54" s="76"/>
      <c r="I54" s="41"/>
    </row>
    <row r="55">
      <c r="A55" s="34"/>
      <c r="B55" s="34"/>
      <c r="C55" s="34" t="b">
        <v>0</v>
      </c>
      <c r="D55" s="34"/>
      <c r="E55" s="76"/>
      <c r="F55" s="76"/>
      <c r="G55" s="76"/>
      <c r="H55" s="76"/>
      <c r="I55" s="41"/>
    </row>
    <row r="56">
      <c r="A56" s="34"/>
      <c r="B56" s="34"/>
      <c r="C56" s="34" t="b">
        <v>0</v>
      </c>
      <c r="D56" s="34"/>
      <c r="E56" s="76"/>
      <c r="F56" s="37"/>
      <c r="G56" s="37"/>
      <c r="H56" s="76"/>
      <c r="I56" s="41"/>
    </row>
    <row r="57">
      <c r="A57" s="34"/>
      <c r="B57" s="34"/>
      <c r="C57" s="34" t="b">
        <v>0</v>
      </c>
      <c r="D57" s="34"/>
      <c r="E57" s="76"/>
      <c r="F57" s="76"/>
      <c r="G57" s="76"/>
      <c r="H57" s="76"/>
      <c r="I57" s="41"/>
    </row>
    <row r="58">
      <c r="A58" s="51"/>
      <c r="B58" s="52"/>
      <c r="C58" s="52"/>
      <c r="D58" s="52" t="s">
        <v>101</v>
      </c>
      <c r="E58" s="54">
        <f t="shared" ref="E58:F58" si="5">sum(E53:E57)</f>
        <v>0</v>
      </c>
      <c r="F58" s="54">
        <f t="shared" si="5"/>
        <v>0</v>
      </c>
      <c r="G58" s="54"/>
      <c r="H58" s="54"/>
      <c r="I58" s="56"/>
    </row>
  </sheetData>
  <mergeCells count="19">
    <mergeCell ref="A1:H1"/>
    <mergeCell ref="B2:H2"/>
    <mergeCell ref="I2:I3"/>
    <mergeCell ref="B3:H3"/>
    <mergeCell ref="B4:H4"/>
    <mergeCell ref="B5:H5"/>
    <mergeCell ref="I5:I6"/>
    <mergeCell ref="A31:H31"/>
    <mergeCell ref="A40:H40"/>
    <mergeCell ref="A41:H41"/>
    <mergeCell ref="A50:H50"/>
    <mergeCell ref="A51:H51"/>
    <mergeCell ref="B6:H6"/>
    <mergeCell ref="B7:H7"/>
    <mergeCell ref="A9:H9"/>
    <mergeCell ref="A10:H10"/>
    <mergeCell ref="A20:H20"/>
    <mergeCell ref="A21:H21"/>
    <mergeCell ref="A30:H30"/>
  </mergeCells>
  <dataValidations>
    <dataValidation type="list" allowBlank="1" sqref="D12:D17 D23:D27 D33:D37 D43:D47 D53:D57">
      <formula1>'Data Validation'!$A$2:$A$5</formula1>
    </dataValidation>
    <dataValidation type="list" allowBlank="1" sqref="E12:E17 E23:E27 E33:E37 E43:E47 E53:E57">
      <formula1>'Data Validation'!$B$2:$B$4</formula1>
    </dataValidation>
  </dataValidations>
  <hyperlinks>
    <hyperlink r:id="rId1" ref="I2"/>
    <hyperlink r:id="rId2" ref="I4"/>
    <hyperlink r:id="rId3" ref="I5"/>
  </hyperlinks>
  <drawing r:id="rId4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58</v>
      </c>
      <c r="B2" s="4">
        <v>0.5</v>
      </c>
    </row>
    <row r="3">
      <c r="A3" s="4" t="s">
        <v>71</v>
      </c>
      <c r="B3" s="4">
        <v>1.0</v>
      </c>
    </row>
    <row r="4">
      <c r="A4" s="4" t="s">
        <v>82</v>
      </c>
      <c r="B4" s="4">
        <v>2.0</v>
      </c>
    </row>
    <row r="5">
      <c r="A5" s="569" t="s">
        <v>96</v>
      </c>
      <c r="B5" s="4">
        <v>3.0</v>
      </c>
    </row>
  </sheetData>
  <drawing r:id="rId1"/>
</worksheet>
</file>